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4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5.xml" ContentType="application/vnd.openxmlformats-officedocument.drawing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\\VENUS\Master\23_Matsusaka\ミーティング\"/>
    </mc:Choice>
  </mc:AlternateContent>
  <xr:revisionPtr revIDLastSave="0" documentId="13_ncr:1_{1928EBE6-9366-40F8-9DB3-C73C656E9656}" xr6:coauthVersionLast="36" xr6:coauthVersionMax="36" xr10:uidLastSave="{00000000-0000-0000-0000-000000000000}"/>
  <bookViews>
    <workbookView xWindow="-120" yWindow="-120" windowWidth="24645" windowHeight="12135" firstSheet="6" activeTab="10" xr2:uid="{00000000-000D-0000-FFFF-FFFF00000000}"/>
  </bookViews>
  <sheets>
    <sheet name="TEG_Syncronous_Pipeline_回路規模" sheetId="3" r:id="rId1"/>
    <sheet name="電力データ_0610までに取得分" sheetId="1" r:id="rId2"/>
    <sheet name="電力データ_0610以降_100N" sheetId="2" r:id="rId3"/>
    <sheet name="電力データ0610以降_300N" sheetId="4" r:id="rId4"/>
    <sheet name="Sync回路_検証用データ群" sheetId="7" r:id="rId5"/>
    <sheet name="Sync回路回帰分析" sheetId="6" r:id="rId6"/>
    <sheet name="電力データ_Async回路" sheetId="8" r:id="rId7"/>
    <sheet name="Async回路回帰分析_グラフ出力" sheetId="9" r:id="rId8"/>
    <sheet name="DDP_Datasheet_16bit" sheetId="10" r:id="rId9"/>
    <sheet name="DDP_Datasheet_32bit" sheetId="11" r:id="rId10"/>
    <sheet name="Power estimation model" sheetId="12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12" l="1"/>
  <c r="H39" i="12"/>
  <c r="K39" i="12"/>
  <c r="G20" i="12"/>
  <c r="H20" i="12"/>
  <c r="K20" i="12"/>
  <c r="Q37" i="12"/>
  <c r="Q39" i="12" s="1"/>
  <c r="R37" i="12"/>
  <c r="R39" i="12" s="1"/>
  <c r="Q27" i="12"/>
  <c r="O26" i="12"/>
  <c r="R34" i="12"/>
  <c r="Q34" i="12"/>
  <c r="R33" i="12"/>
  <c r="Q33" i="12"/>
  <c r="R32" i="12"/>
  <c r="R35" i="12" s="1"/>
  <c r="R36" i="12" s="1"/>
  <c r="Q32" i="12"/>
  <c r="R31" i="12"/>
  <c r="Q31" i="12"/>
  <c r="R30" i="12"/>
  <c r="Q30" i="12"/>
  <c r="R29" i="12"/>
  <c r="Q29" i="12"/>
  <c r="R28" i="12"/>
  <c r="Q28" i="12"/>
  <c r="R27" i="12"/>
  <c r="Q35" i="12"/>
  <c r="Q36" i="12" s="1"/>
  <c r="O7" i="12"/>
  <c r="R20" i="12" s="1"/>
  <c r="R19" i="12"/>
  <c r="Q19" i="12"/>
  <c r="R18" i="12"/>
  <c r="Q18" i="12"/>
  <c r="R17" i="12"/>
  <c r="Q17" i="12"/>
  <c r="R16" i="12"/>
  <c r="Q16" i="12"/>
  <c r="R9" i="12"/>
  <c r="R10" i="12"/>
  <c r="R11" i="12"/>
  <c r="R12" i="12"/>
  <c r="R13" i="12"/>
  <c r="R14" i="12"/>
  <c r="R15" i="12"/>
  <c r="R8" i="12"/>
  <c r="Q9" i="12"/>
  <c r="Q10" i="12"/>
  <c r="Q11" i="12"/>
  <c r="Q12" i="12"/>
  <c r="Q13" i="12"/>
  <c r="Q14" i="12"/>
  <c r="Q15" i="12"/>
  <c r="Q8" i="12"/>
  <c r="G167" i="10"/>
  <c r="G167" i="11"/>
  <c r="H34" i="12"/>
  <c r="H17" i="12"/>
  <c r="H33" i="12"/>
  <c r="H32" i="12"/>
  <c r="H31" i="12"/>
  <c r="H30" i="12"/>
  <c r="H29" i="12"/>
  <c r="H28" i="12"/>
  <c r="K8" i="12"/>
  <c r="H9" i="12"/>
  <c r="H10" i="12"/>
  <c r="H11" i="12"/>
  <c r="H12" i="12"/>
  <c r="H13" i="12"/>
  <c r="H14" i="12"/>
  <c r="H15" i="12"/>
  <c r="H8" i="12"/>
  <c r="H27" i="12"/>
  <c r="G26" i="12"/>
  <c r="R38" i="12" l="1"/>
  <c r="Q38" i="12"/>
  <c r="Q20" i="12"/>
  <c r="H16" i="12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L7" i="12"/>
  <c r="F32" i="12"/>
  <c r="F13" i="12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07" i="9"/>
  <c r="G3" i="12"/>
  <c r="E3" i="12"/>
  <c r="D3" i="12"/>
  <c r="H35" i="12" l="1"/>
  <c r="H18" i="12"/>
  <c r="H36" i="12" l="1"/>
  <c r="H37" i="12" s="1"/>
  <c r="H19" i="12"/>
  <c r="H38" i="12" l="1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07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69" i="9"/>
  <c r="L26" i="12" l="1"/>
  <c r="J32" i="12"/>
  <c r="E28" i="12"/>
  <c r="E29" i="12"/>
  <c r="E30" i="12"/>
  <c r="E31" i="12"/>
  <c r="E32" i="12"/>
  <c r="E33" i="12"/>
  <c r="E34" i="12"/>
  <c r="I34" i="12" s="1"/>
  <c r="E27" i="12"/>
  <c r="D28" i="12"/>
  <c r="D29" i="12"/>
  <c r="D30" i="12"/>
  <c r="D31" i="12"/>
  <c r="D32" i="12"/>
  <c r="D33" i="12"/>
  <c r="D34" i="12"/>
  <c r="D27" i="12"/>
  <c r="I27" i="12" s="1"/>
  <c r="D26" i="12"/>
  <c r="I30" i="12"/>
  <c r="I31" i="12"/>
  <c r="I33" i="12"/>
  <c r="F26" i="12"/>
  <c r="E26" i="12"/>
  <c r="C34" i="12"/>
  <c r="C33" i="12"/>
  <c r="C32" i="12"/>
  <c r="C31" i="12"/>
  <c r="C30" i="12"/>
  <c r="C29" i="12"/>
  <c r="C28" i="12"/>
  <c r="C27" i="12"/>
  <c r="C26" i="12"/>
  <c r="J13" i="12"/>
  <c r="C13" i="12"/>
  <c r="C12" i="12"/>
  <c r="C11" i="12"/>
  <c r="R10" i="11"/>
  <c r="R7" i="11"/>
  <c r="R4" i="11"/>
  <c r="R7" i="10"/>
  <c r="R10" i="10"/>
  <c r="I32" i="12" l="1"/>
  <c r="I29" i="12"/>
  <c r="I28" i="12"/>
  <c r="I26" i="12"/>
  <c r="G4" i="12"/>
  <c r="D4" i="12"/>
  <c r="G2" i="12"/>
  <c r="F2" i="12"/>
  <c r="E2" i="12"/>
  <c r="D2" i="12"/>
  <c r="C7" i="12"/>
  <c r="C9" i="12"/>
  <c r="C10" i="12"/>
  <c r="C14" i="12"/>
  <c r="C15" i="12"/>
  <c r="C8" i="12"/>
  <c r="R4" i="10"/>
  <c r="E9" i="12"/>
  <c r="E10" i="12"/>
  <c r="E11" i="12"/>
  <c r="E12" i="12"/>
  <c r="E13" i="12"/>
  <c r="E14" i="12"/>
  <c r="E15" i="12"/>
  <c r="E8" i="12"/>
  <c r="D8" i="12"/>
  <c r="D9" i="12"/>
  <c r="D10" i="12"/>
  <c r="D11" i="12"/>
  <c r="D12" i="12"/>
  <c r="D13" i="12"/>
  <c r="D14" i="12"/>
  <c r="D15" i="12"/>
  <c r="D167" i="10"/>
  <c r="F7" i="12" s="1"/>
  <c r="C167" i="10"/>
  <c r="D167" i="11"/>
  <c r="C167" i="11"/>
  <c r="G28" i="12" l="1"/>
  <c r="G29" i="12"/>
  <c r="G30" i="12"/>
  <c r="G33" i="12"/>
  <c r="K31" i="12"/>
  <c r="K13" i="12"/>
  <c r="K9" i="12"/>
  <c r="K10" i="12"/>
  <c r="K11" i="12"/>
  <c r="K12" i="12"/>
  <c r="K15" i="12"/>
  <c r="K14" i="12"/>
  <c r="K32" i="12"/>
  <c r="K27" i="12"/>
  <c r="K28" i="12"/>
  <c r="K29" i="12"/>
  <c r="K30" i="12"/>
  <c r="K33" i="12"/>
  <c r="K34" i="12"/>
  <c r="G34" i="12"/>
  <c r="G31" i="12"/>
  <c r="G27" i="12"/>
  <c r="G35" i="12" s="1"/>
  <c r="G36" i="12" s="1"/>
  <c r="G37" i="12" s="1"/>
  <c r="G38" i="12" s="1"/>
  <c r="G32" i="12"/>
  <c r="G7" i="12"/>
  <c r="G8" i="12"/>
  <c r="G15" i="12"/>
  <c r="G11" i="12"/>
  <c r="G12" i="12"/>
  <c r="G14" i="12"/>
  <c r="G10" i="12"/>
  <c r="G13" i="12"/>
  <c r="G9" i="12"/>
  <c r="I15" i="12"/>
  <c r="I11" i="12"/>
  <c r="I14" i="12"/>
  <c r="I10" i="12"/>
  <c r="I13" i="12"/>
  <c r="I9" i="12"/>
  <c r="D16" i="12"/>
  <c r="I8" i="12"/>
  <c r="I12" i="12"/>
  <c r="E16" i="12"/>
  <c r="F91" i="11"/>
  <c r="G91" i="11"/>
  <c r="H91" i="11"/>
  <c r="I91" i="11"/>
  <c r="J91" i="11"/>
  <c r="K91" i="11"/>
  <c r="L91" i="11"/>
  <c r="E91" i="11"/>
  <c r="F91" i="10"/>
  <c r="G91" i="10"/>
  <c r="H91" i="10"/>
  <c r="I91" i="10"/>
  <c r="J91" i="10"/>
  <c r="K91" i="10"/>
  <c r="L91" i="10"/>
  <c r="M91" i="10"/>
  <c r="E91" i="10"/>
  <c r="AB112" i="9"/>
  <c r="AA113" i="9"/>
  <c r="AA112" i="9"/>
  <c r="K35" i="12" l="1"/>
  <c r="K36" i="12" s="1"/>
  <c r="K37" i="12" s="1"/>
  <c r="G16" i="12"/>
  <c r="K16" i="12"/>
  <c r="K17" i="12" s="1"/>
  <c r="K18" i="12" s="1"/>
  <c r="G77" i="9"/>
  <c r="G78" i="9"/>
  <c r="G80" i="9"/>
  <c r="G81" i="9"/>
  <c r="G82" i="9"/>
  <c r="G83" i="9"/>
  <c r="G84" i="9"/>
  <c r="G85" i="9"/>
  <c r="G90" i="9"/>
  <c r="G91" i="9"/>
  <c r="G92" i="9"/>
  <c r="G93" i="9"/>
  <c r="G94" i="9"/>
  <c r="G96" i="9"/>
  <c r="G76" i="9"/>
  <c r="C39" i="9"/>
  <c r="C214" i="8"/>
  <c r="D214" i="8"/>
  <c r="E214" i="8"/>
  <c r="F214" i="8"/>
  <c r="G214" i="8"/>
  <c r="H214" i="8"/>
  <c r="K214" i="8"/>
  <c r="L214" i="8"/>
  <c r="M214" i="8"/>
  <c r="N214" i="8"/>
  <c r="O214" i="8"/>
  <c r="P214" i="8"/>
  <c r="Q214" i="8"/>
  <c r="T214" i="8"/>
  <c r="U214" i="8"/>
  <c r="V214" i="8"/>
  <c r="W214" i="8"/>
  <c r="X214" i="8"/>
  <c r="Y214" i="8"/>
  <c r="Z214" i="8"/>
  <c r="AC214" i="8"/>
  <c r="AD214" i="8"/>
  <c r="AE214" i="8"/>
  <c r="AF214" i="8"/>
  <c r="AG214" i="8"/>
  <c r="AH214" i="8"/>
  <c r="AI214" i="8"/>
  <c r="B214" i="8"/>
  <c r="E64" i="8"/>
  <c r="E65" i="8" s="1"/>
  <c r="F64" i="8"/>
  <c r="F65" i="8" s="1"/>
  <c r="G64" i="8"/>
  <c r="G65" i="8" s="1"/>
  <c r="H64" i="8"/>
  <c r="H65" i="8" s="1"/>
  <c r="I64" i="8"/>
  <c r="I65" i="8" s="1"/>
  <c r="J64" i="8"/>
  <c r="J65" i="8" s="1"/>
  <c r="K64" i="8"/>
  <c r="K65" i="8" s="1"/>
  <c r="F61" i="8"/>
  <c r="F62" i="8" s="1"/>
  <c r="G61" i="8"/>
  <c r="G62" i="8" s="1"/>
  <c r="H61" i="8"/>
  <c r="H62" i="8" s="1"/>
  <c r="I61" i="8"/>
  <c r="I62" i="8" s="1"/>
  <c r="J61" i="8"/>
  <c r="J62" i="8" s="1"/>
  <c r="K61" i="8"/>
  <c r="K62" i="8" s="1"/>
  <c r="E61" i="8"/>
  <c r="E62" i="8" s="1"/>
  <c r="K38" i="12" l="1"/>
  <c r="G95" i="9"/>
  <c r="G79" i="9"/>
  <c r="G89" i="9"/>
  <c r="G88" i="9"/>
  <c r="G87" i="9"/>
  <c r="G86" i="9"/>
  <c r="G17" i="12"/>
  <c r="G18" i="12" s="1"/>
  <c r="G19" i="12" s="1"/>
  <c r="K19" i="12"/>
  <c r="E30" i="8"/>
  <c r="F53" i="8"/>
  <c r="F54" i="8" s="1"/>
  <c r="G53" i="8"/>
  <c r="G54" i="8" s="1"/>
  <c r="H53" i="8"/>
  <c r="H54" i="8" s="1"/>
  <c r="I53" i="8"/>
  <c r="I54" i="8" s="1"/>
  <c r="J53" i="8"/>
  <c r="J54" i="8" s="1"/>
  <c r="K53" i="8"/>
  <c r="K54" i="8" s="1"/>
  <c r="F50" i="8"/>
  <c r="F51" i="8" s="1"/>
  <c r="G50" i="8"/>
  <c r="G51" i="8" s="1"/>
  <c r="H50" i="8"/>
  <c r="H51" i="8" s="1"/>
  <c r="I50" i="8"/>
  <c r="I51" i="8" s="1"/>
  <c r="J50" i="8"/>
  <c r="J51" i="8" s="1"/>
  <c r="K50" i="8"/>
  <c r="K51" i="8" s="1"/>
  <c r="E53" i="8"/>
  <c r="E54" i="8" s="1"/>
  <c r="E50" i="8"/>
  <c r="E51" i="8" s="1"/>
  <c r="H40" i="8"/>
  <c r="H41" i="8" s="1"/>
  <c r="F43" i="8"/>
  <c r="G43" i="8"/>
  <c r="H43" i="8"/>
  <c r="I43" i="8"/>
  <c r="J43" i="8"/>
  <c r="K43" i="8"/>
  <c r="F40" i="8"/>
  <c r="F41" i="8" s="1"/>
  <c r="G40" i="8"/>
  <c r="G41" i="8" s="1"/>
  <c r="I40" i="8"/>
  <c r="I41" i="8" s="1"/>
  <c r="J40" i="8"/>
  <c r="J41" i="8" s="1"/>
  <c r="K40" i="8"/>
  <c r="K41" i="8" s="1"/>
  <c r="E40" i="8"/>
  <c r="E41" i="8" s="1"/>
  <c r="E43" i="8"/>
  <c r="F75" i="9"/>
  <c r="E75" i="9"/>
  <c r="G75" i="9" s="1"/>
  <c r="F74" i="9"/>
  <c r="E74" i="9"/>
  <c r="G74" i="9" s="1"/>
  <c r="F73" i="9"/>
  <c r="E73" i="9"/>
  <c r="G73" i="9" s="1"/>
  <c r="F72" i="9"/>
  <c r="E72" i="9"/>
  <c r="G72" i="9" s="1"/>
  <c r="F71" i="9"/>
  <c r="E71" i="9"/>
  <c r="G71" i="9" s="1"/>
  <c r="F70" i="9"/>
  <c r="E70" i="9"/>
  <c r="G70" i="9" s="1"/>
  <c r="F69" i="9"/>
  <c r="E69" i="9"/>
  <c r="G69" i="9" s="1"/>
  <c r="K24" i="8" l="1"/>
  <c r="K25" i="8" s="1"/>
  <c r="K27" i="8"/>
  <c r="F27" i="8"/>
  <c r="G27" i="8"/>
  <c r="H27" i="8"/>
  <c r="I27" i="8"/>
  <c r="J27" i="8"/>
  <c r="J24" i="8" l="1"/>
  <c r="J25" i="8" s="1"/>
  <c r="I24" i="8"/>
  <c r="I25" i="8" s="1"/>
  <c r="H24" i="8"/>
  <c r="H25" i="8" s="1"/>
  <c r="G24" i="8"/>
  <c r="G25" i="8" s="1"/>
  <c r="F25" i="8"/>
  <c r="J21" i="8"/>
  <c r="E19" i="8"/>
  <c r="E27" i="8"/>
  <c r="E24" i="8" l="1"/>
  <c r="E25" i="8" s="1"/>
  <c r="D37" i="8"/>
  <c r="F19" i="8"/>
  <c r="G19" i="8"/>
  <c r="H19" i="8"/>
  <c r="I19" i="8"/>
  <c r="J19" i="8"/>
  <c r="K19" i="8"/>
  <c r="D34" i="8"/>
  <c r="D35" i="8" s="1"/>
  <c r="E16" i="8"/>
  <c r="E17" i="8" s="1"/>
  <c r="BS48" i="6" l="1"/>
  <c r="BS49" i="6"/>
  <c r="BS50" i="6"/>
  <c r="BS51" i="6"/>
  <c r="BS52" i="6"/>
  <c r="BS64" i="6"/>
  <c r="BS63" i="6"/>
  <c r="BS62" i="6"/>
  <c r="BS61" i="6"/>
  <c r="BS60" i="6"/>
  <c r="BS59" i="6"/>
  <c r="BS58" i="6"/>
  <c r="BS57" i="6"/>
  <c r="BS56" i="6"/>
  <c r="BS55" i="6"/>
  <c r="BS54" i="6"/>
  <c r="BS53" i="6"/>
  <c r="F10" i="9" l="1"/>
  <c r="F9" i="9"/>
  <c r="F8" i="9"/>
  <c r="F7" i="9"/>
  <c r="F6" i="9"/>
  <c r="F5" i="9"/>
  <c r="F4" i="9"/>
  <c r="E10" i="9"/>
  <c r="E9" i="9"/>
  <c r="E8" i="9"/>
  <c r="E7" i="9"/>
  <c r="E6" i="9"/>
  <c r="E5" i="9"/>
  <c r="E4" i="9"/>
  <c r="C144" i="8"/>
  <c r="C5" i="9" s="1"/>
  <c r="D144" i="8"/>
  <c r="C6" i="9" s="1"/>
  <c r="E144" i="8"/>
  <c r="C7" i="9" s="1"/>
  <c r="F144" i="8"/>
  <c r="C8" i="9" s="1"/>
  <c r="G144" i="8"/>
  <c r="C9" i="9" s="1"/>
  <c r="H144" i="8"/>
  <c r="C10" i="9" s="1"/>
  <c r="B144" i="8"/>
  <c r="C4" i="9" s="1"/>
  <c r="J3" i="9" l="1"/>
  <c r="H4" i="9" s="1"/>
  <c r="K16" i="8"/>
  <c r="K17" i="8" s="1"/>
  <c r="H8" i="9" l="1"/>
  <c r="H7" i="9"/>
  <c r="H10" i="9"/>
  <c r="H9" i="9"/>
  <c r="H6" i="9"/>
  <c r="H5" i="9"/>
  <c r="G43" i="6"/>
  <c r="G42" i="6"/>
  <c r="G41" i="6"/>
  <c r="G40" i="6"/>
  <c r="F44" i="6"/>
  <c r="F43" i="6"/>
  <c r="F42" i="6"/>
  <c r="F41" i="6"/>
  <c r="F40" i="6"/>
  <c r="G16" i="8"/>
  <c r="G17" i="8" s="1"/>
  <c r="H16" i="8"/>
  <c r="H17" i="8" s="1"/>
  <c r="I16" i="8"/>
  <c r="I17" i="8" s="1"/>
  <c r="J16" i="8"/>
  <c r="J17" i="8" s="1"/>
  <c r="F16" i="8"/>
  <c r="F17" i="8" s="1"/>
  <c r="K133" i="7" l="1"/>
  <c r="AO50" i="6" s="1"/>
  <c r="L133" i="7"/>
  <c r="AO55" i="6" s="1"/>
  <c r="H133" i="7"/>
  <c r="AO49" i="6" s="1"/>
  <c r="AR52" i="6" l="1"/>
  <c r="AR51" i="6"/>
  <c r="AP51" i="6" s="1"/>
  <c r="AR55" i="6"/>
  <c r="AR50" i="6"/>
  <c r="AR49" i="6"/>
  <c r="AR54" i="6"/>
  <c r="AP54" i="6" s="1"/>
  <c r="AR48" i="6"/>
  <c r="AP48" i="6" s="1"/>
  <c r="AR53" i="6"/>
  <c r="AR47" i="6"/>
  <c r="AS52" i="6"/>
  <c r="AS51" i="6"/>
  <c r="AS55" i="6"/>
  <c r="AS50" i="6"/>
  <c r="AS49" i="6"/>
  <c r="AS54" i="6"/>
  <c r="AS48" i="6"/>
  <c r="AS53" i="6"/>
  <c r="AS47" i="6"/>
  <c r="AP53" i="6" l="1"/>
  <c r="AP52" i="6"/>
  <c r="AP49" i="6"/>
  <c r="AP55" i="6"/>
  <c r="AP50" i="6"/>
  <c r="AP47" i="6"/>
  <c r="C65" i="7"/>
  <c r="AO53" i="6" s="1"/>
  <c r="E65" i="7"/>
  <c r="AO48" i="6" s="1"/>
  <c r="F65" i="7"/>
  <c r="AO54" i="6" s="1"/>
  <c r="H65" i="7"/>
  <c r="K65" i="7"/>
  <c r="L65" i="7"/>
  <c r="N65" i="7"/>
  <c r="AO51" i="6" s="1"/>
  <c r="Q65" i="7"/>
  <c r="AO52" i="6" s="1"/>
  <c r="B65" i="7"/>
  <c r="AO47" i="6" s="1"/>
  <c r="C26" i="3" l="1"/>
  <c r="C25" i="3"/>
  <c r="C23" i="3"/>
  <c r="C22" i="3"/>
  <c r="C20" i="3"/>
  <c r="C19" i="3"/>
  <c r="AI120" i="6" l="1"/>
  <c r="AI119" i="6"/>
  <c r="AI118" i="6"/>
  <c r="AI117" i="6"/>
  <c r="AI116" i="6"/>
  <c r="AI115" i="6"/>
  <c r="AI114" i="6"/>
  <c r="AI113" i="6"/>
  <c r="AI112" i="6"/>
  <c r="AI111" i="6"/>
  <c r="AK110" i="6"/>
  <c r="AI110" i="6"/>
  <c r="AJ110" i="6"/>
  <c r="AI89" i="6"/>
  <c r="AJ89" i="6"/>
  <c r="AI96" i="6"/>
  <c r="AI95" i="6"/>
  <c r="AI94" i="6"/>
  <c r="AI93" i="6"/>
  <c r="AI92" i="6"/>
  <c r="AI91" i="6"/>
  <c r="AI90" i="6"/>
  <c r="AK63" i="6"/>
  <c r="AK62" i="6"/>
  <c r="AK61" i="6"/>
  <c r="AK60" i="6"/>
  <c r="AK59" i="6"/>
  <c r="AK58" i="6"/>
  <c r="AK57" i="6"/>
  <c r="AK56" i="6"/>
  <c r="AK55" i="6"/>
  <c r="AK54" i="6"/>
  <c r="AK53" i="6"/>
  <c r="AK52" i="6"/>
  <c r="AK51" i="6"/>
  <c r="AK50" i="6"/>
  <c r="AK49" i="6"/>
  <c r="AK48" i="6"/>
  <c r="AK47" i="6"/>
  <c r="AL46" i="6"/>
  <c r="AD58" i="6"/>
  <c r="AD63" i="6"/>
  <c r="AD62" i="6"/>
  <c r="AD61" i="6"/>
  <c r="AD60" i="6"/>
  <c r="AD59" i="6"/>
  <c r="AD57" i="6"/>
  <c r="AD56" i="6"/>
  <c r="AD55" i="6"/>
  <c r="AD54" i="6"/>
  <c r="AD53" i="6"/>
  <c r="AD52" i="6"/>
  <c r="AD51" i="6"/>
  <c r="AD50" i="6"/>
  <c r="AD49" i="6"/>
  <c r="AD48" i="6"/>
  <c r="AD47" i="6"/>
  <c r="F26" i="6"/>
  <c r="F27" i="6"/>
  <c r="F28" i="6"/>
  <c r="F29" i="6"/>
  <c r="F30" i="6"/>
  <c r="F38" i="6"/>
  <c r="F32" i="6"/>
  <c r="F31" i="6"/>
  <c r="AH94" i="6" l="1"/>
  <c r="AH63" i="6"/>
  <c r="AH113" i="6"/>
  <c r="AH112" i="6"/>
  <c r="AH49" i="6"/>
  <c r="AH90" i="6"/>
  <c r="AH115" i="6"/>
  <c r="AH50" i="6"/>
  <c r="AH116" i="6"/>
  <c r="AH51" i="6"/>
  <c r="AH92" i="6"/>
  <c r="AH117" i="6"/>
  <c r="AH118" i="6"/>
  <c r="AH91" i="6"/>
  <c r="AH95" i="6"/>
  <c r="AH120" i="6"/>
  <c r="AH111" i="6"/>
  <c r="AH93" i="6"/>
  <c r="AH119" i="6"/>
  <c r="AH58" i="6"/>
  <c r="AH53" i="6"/>
  <c r="AH96" i="6"/>
  <c r="AH52" i="6"/>
  <c r="AH114" i="6"/>
  <c r="AH47" i="6"/>
  <c r="AH48" i="6"/>
  <c r="K50" i="6" l="1"/>
  <c r="K49" i="6"/>
  <c r="K48" i="6"/>
  <c r="K47" i="6"/>
  <c r="K54" i="6" l="1"/>
  <c r="K52" i="6"/>
  <c r="K53" i="6"/>
  <c r="K51" i="6"/>
  <c r="K55" i="6"/>
  <c r="K56" i="6"/>
  <c r="K63" i="6"/>
  <c r="K62" i="6"/>
  <c r="K61" i="6"/>
  <c r="K60" i="6"/>
  <c r="K59" i="6"/>
  <c r="K58" i="6"/>
  <c r="K57" i="6"/>
  <c r="H38" i="6" l="1"/>
  <c r="H32" i="6"/>
  <c r="T64" i="4"/>
  <c r="H44" i="6" s="1"/>
  <c r="G64" i="4"/>
  <c r="I65" i="2"/>
  <c r="G35" i="6"/>
  <c r="G36" i="6"/>
  <c r="G37" i="6"/>
  <c r="G34" i="6"/>
  <c r="G27" i="6"/>
  <c r="G28" i="6"/>
  <c r="G29" i="6"/>
  <c r="G30" i="6"/>
  <c r="G31" i="6"/>
  <c r="G26" i="6"/>
  <c r="F37" i="6"/>
  <c r="F36" i="6"/>
  <c r="F35" i="6"/>
  <c r="F34" i="6"/>
  <c r="D178" i="4"/>
  <c r="D179" i="4"/>
  <c r="D180" i="4"/>
  <c r="D177" i="4"/>
  <c r="E180" i="4"/>
  <c r="E179" i="4"/>
  <c r="E178" i="4"/>
  <c r="E177" i="4"/>
  <c r="E225" i="2"/>
  <c r="E226" i="2"/>
  <c r="E227" i="2"/>
  <c r="E228" i="2"/>
  <c r="E229" i="2"/>
  <c r="E224" i="2"/>
  <c r="D225" i="2"/>
  <c r="D226" i="2"/>
  <c r="D227" i="2"/>
  <c r="D228" i="2"/>
  <c r="D229" i="2"/>
  <c r="D224" i="2"/>
  <c r="H16" i="6"/>
  <c r="H15" i="6"/>
  <c r="H14" i="6"/>
  <c r="H13" i="6"/>
  <c r="J5" i="6" s="1"/>
  <c r="C134" i="4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E19" i="6"/>
  <c r="E18" i="6"/>
  <c r="E17" i="6"/>
  <c r="E16" i="6"/>
  <c r="E15" i="6"/>
  <c r="E14" i="6"/>
  <c r="E13" i="6"/>
  <c r="E12" i="6"/>
  <c r="E10" i="6"/>
  <c r="E11" i="6"/>
  <c r="E9" i="6"/>
  <c r="E8" i="6"/>
  <c r="E7" i="6"/>
  <c r="E6" i="6"/>
  <c r="E5" i="6"/>
  <c r="BR61" i="6" l="1"/>
  <c r="BR55" i="6"/>
  <c r="E40" i="6"/>
  <c r="BR56" i="6"/>
  <c r="BR62" i="6"/>
  <c r="E41" i="6"/>
  <c r="BR64" i="6"/>
  <c r="BR58" i="6"/>
  <c r="E43" i="6"/>
  <c r="BN54" i="6"/>
  <c r="AG96" i="6"/>
  <c r="AA53" i="6"/>
  <c r="C52" i="6"/>
  <c r="BN60" i="6"/>
  <c r="AA59" i="6"/>
  <c r="AG120" i="6"/>
  <c r="C57" i="6"/>
  <c r="BR63" i="6"/>
  <c r="BR57" i="6"/>
  <c r="E42" i="6"/>
  <c r="BN59" i="6"/>
  <c r="AG115" i="6"/>
  <c r="AA58" i="6"/>
  <c r="C62" i="6"/>
  <c r="AJ54" i="6"/>
  <c r="AH54" i="6" s="1"/>
  <c r="AC54" i="6"/>
  <c r="AC60" i="6"/>
  <c r="E34" i="6"/>
  <c r="AJ59" i="6"/>
  <c r="AH59" i="6" s="1"/>
  <c r="AC57" i="6"/>
  <c r="AJ62" i="6"/>
  <c r="AH62" i="6" s="1"/>
  <c r="E37" i="6"/>
  <c r="AJ57" i="6"/>
  <c r="AH57" i="6" s="1"/>
  <c r="AC63" i="6"/>
  <c r="AJ56" i="6"/>
  <c r="AH56" i="6" s="1"/>
  <c r="AJ61" i="6"/>
  <c r="AH61" i="6" s="1"/>
  <c r="AC56" i="6"/>
  <c r="E36" i="6"/>
  <c r="AC62" i="6"/>
  <c r="AC55" i="6"/>
  <c r="AC61" i="6"/>
  <c r="E35" i="6"/>
  <c r="AJ60" i="6"/>
  <c r="AH60" i="6" s="1"/>
  <c r="AJ55" i="6"/>
  <c r="AH55" i="6" s="1"/>
  <c r="J8" i="6"/>
  <c r="J6" i="6"/>
  <c r="H7" i="6"/>
  <c r="H6" i="6"/>
  <c r="H5" i="6"/>
  <c r="H9" i="6"/>
  <c r="H8" i="6" s="1"/>
  <c r="J7" i="6"/>
  <c r="H10" i="6"/>
  <c r="J9" i="6"/>
  <c r="J10" i="6"/>
  <c r="J165" i="4"/>
  <c r="J164" i="4"/>
  <c r="J163" i="4"/>
  <c r="J162" i="4"/>
  <c r="J134" i="4"/>
  <c r="J171" i="4"/>
  <c r="J170" i="4"/>
  <c r="J169" i="4"/>
  <c r="J168" i="4"/>
  <c r="J167" i="4"/>
  <c r="J166" i="4"/>
  <c r="F171" i="4"/>
  <c r="F170" i="4"/>
  <c r="F169" i="4"/>
  <c r="F168" i="4"/>
  <c r="F167" i="4"/>
  <c r="F166" i="4"/>
  <c r="F165" i="4"/>
  <c r="F164" i="4"/>
  <c r="F163" i="4"/>
  <c r="F162" i="4"/>
  <c r="C171" i="4"/>
  <c r="C170" i="4"/>
  <c r="C169" i="4"/>
  <c r="C168" i="4"/>
  <c r="C167" i="4"/>
  <c r="C166" i="4"/>
  <c r="C165" i="4"/>
  <c r="C164" i="4"/>
  <c r="C163" i="4"/>
  <c r="C162" i="4"/>
  <c r="J139" i="4"/>
  <c r="J138" i="4"/>
  <c r="J137" i="4"/>
  <c r="J136" i="4"/>
  <c r="J135" i="4"/>
  <c r="F139" i="4"/>
  <c r="F138" i="4"/>
  <c r="F137" i="4"/>
  <c r="F136" i="4"/>
  <c r="F135" i="4"/>
  <c r="F134" i="4"/>
  <c r="G139" i="4"/>
  <c r="G138" i="4"/>
  <c r="G137" i="4"/>
  <c r="G136" i="4"/>
  <c r="G135" i="4"/>
  <c r="G134" i="4"/>
  <c r="C139" i="4"/>
  <c r="C138" i="4"/>
  <c r="C137" i="4"/>
  <c r="C136" i="4"/>
  <c r="C135" i="4"/>
  <c r="AC134" i="2"/>
  <c r="AC133" i="2"/>
  <c r="AC132" i="2"/>
  <c r="AC131" i="2"/>
  <c r="AC130" i="2"/>
  <c r="AC129" i="2"/>
  <c r="AC128" i="2"/>
  <c r="AC127" i="2"/>
  <c r="AC126" i="2"/>
  <c r="AC125" i="2"/>
  <c r="AC124" i="2"/>
  <c r="AC123" i="2"/>
  <c r="AC122" i="2"/>
  <c r="AC121" i="2"/>
  <c r="AC120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AF134" i="2"/>
  <c r="AF133" i="2"/>
  <c r="AF132" i="2"/>
  <c r="AF131" i="2"/>
  <c r="AF130" i="2"/>
  <c r="AF129" i="2"/>
  <c r="AF128" i="2"/>
  <c r="AF127" i="2"/>
  <c r="AF126" i="2"/>
  <c r="AF125" i="2"/>
  <c r="AF124" i="2"/>
  <c r="AF123" i="2"/>
  <c r="AF122" i="2"/>
  <c r="AF121" i="2"/>
  <c r="AF120" i="2"/>
  <c r="E178" i="2"/>
  <c r="E175" i="2"/>
  <c r="N174" i="2" l="1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E176" i="2"/>
  <c r="E177" i="2"/>
  <c r="E179" i="2"/>
  <c r="E180" i="2"/>
  <c r="E181" i="2"/>
  <c r="E182" i="2"/>
  <c r="E183" i="2"/>
  <c r="E184" i="2"/>
  <c r="E185" i="2"/>
  <c r="E186" i="2"/>
  <c r="E187" i="2"/>
  <c r="E188" i="2"/>
  <c r="C16" i="3"/>
  <c r="C15" i="3"/>
  <c r="C14" i="3"/>
  <c r="C13" i="3"/>
  <c r="C12" i="3"/>
  <c r="C11" i="3"/>
  <c r="E174" i="2"/>
  <c r="G188" i="2"/>
  <c r="C188" i="2"/>
  <c r="G187" i="2"/>
  <c r="C187" i="2"/>
  <c r="G186" i="2"/>
  <c r="C186" i="2"/>
  <c r="G185" i="2"/>
  <c r="C185" i="2"/>
  <c r="G184" i="2"/>
  <c r="C184" i="2"/>
  <c r="D184" i="2" s="1"/>
  <c r="G183" i="2"/>
  <c r="C183" i="2"/>
  <c r="G182" i="2"/>
  <c r="C182" i="2"/>
  <c r="G181" i="2"/>
  <c r="C181" i="2"/>
  <c r="G180" i="2"/>
  <c r="C180" i="2"/>
  <c r="G179" i="2"/>
  <c r="C179" i="2"/>
  <c r="D179" i="2" s="1"/>
  <c r="G178" i="2"/>
  <c r="C178" i="2"/>
  <c r="G177" i="2"/>
  <c r="C177" i="2"/>
  <c r="G176" i="2"/>
  <c r="C176" i="2"/>
  <c r="G175" i="2"/>
  <c r="C175" i="2"/>
  <c r="G174" i="2"/>
  <c r="C174" i="2"/>
  <c r="Y65" i="2"/>
  <c r="F181" i="2" l="1"/>
  <c r="F182" i="2"/>
  <c r="F174" i="2"/>
  <c r="F177" i="2"/>
  <c r="F180" i="2"/>
  <c r="F175" i="2"/>
  <c r="F176" i="2"/>
  <c r="F188" i="2"/>
  <c r="F184" i="2"/>
  <c r="F186" i="2"/>
  <c r="F183" i="2"/>
  <c r="F185" i="2"/>
  <c r="F178" i="2"/>
  <c r="F179" i="2"/>
  <c r="F187" i="2"/>
  <c r="D180" i="2"/>
  <c r="D174" i="2"/>
  <c r="D188" i="2"/>
  <c r="D187" i="2"/>
  <c r="D186" i="2"/>
  <c r="D185" i="2"/>
  <c r="D182" i="2"/>
  <c r="D176" i="2"/>
  <c r="D183" i="2"/>
  <c r="D181" i="2"/>
  <c r="D178" i="2"/>
  <c r="D177" i="2"/>
  <c r="D175" i="2"/>
  <c r="AM108" i="4"/>
  <c r="AJ108" i="4"/>
  <c r="AM107" i="4"/>
  <c r="AJ107" i="4"/>
  <c r="AM106" i="4"/>
  <c r="AJ106" i="4"/>
  <c r="AM105" i="4"/>
  <c r="AJ105" i="4"/>
  <c r="AM104" i="4"/>
  <c r="AJ104" i="4"/>
  <c r="AM103" i="4"/>
  <c r="AJ103" i="4"/>
  <c r="X108" i="4"/>
  <c r="X107" i="4"/>
  <c r="X106" i="4"/>
  <c r="X105" i="4"/>
  <c r="X104" i="4"/>
  <c r="X103" i="4"/>
  <c r="T108" i="4"/>
  <c r="T107" i="4"/>
  <c r="T106" i="4"/>
  <c r="T105" i="4"/>
  <c r="T104" i="4"/>
  <c r="T103" i="4"/>
  <c r="M109" i="4"/>
  <c r="M108" i="4"/>
  <c r="M107" i="4"/>
  <c r="M106" i="4"/>
  <c r="M105" i="4"/>
  <c r="M104" i="4"/>
  <c r="K109" i="4"/>
  <c r="K108" i="4"/>
  <c r="K107" i="4"/>
  <c r="K106" i="4"/>
  <c r="K105" i="4"/>
  <c r="K104" i="4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O142" i="2"/>
  <c r="O144" i="2"/>
  <c r="O143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E153" i="2"/>
  <c r="E154" i="2"/>
  <c r="E155" i="2"/>
  <c r="O164" i="2" s="1"/>
  <c r="E156" i="2"/>
  <c r="E157" i="2"/>
  <c r="E152" i="2"/>
  <c r="O154" i="2" l="1"/>
  <c r="O160" i="2"/>
  <c r="O159" i="2"/>
  <c r="O158" i="2"/>
  <c r="O155" i="2"/>
  <c r="O156" i="2"/>
  <c r="O161" i="2"/>
  <c r="O162" i="2"/>
  <c r="O157" i="2"/>
  <c r="O163" i="2"/>
  <c r="O166" i="2"/>
  <c r="O152" i="2"/>
  <c r="O153" i="2"/>
  <c r="O16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R65" i="2"/>
  <c r="N65" i="2"/>
  <c r="BO49" i="6" s="1"/>
  <c r="O65" i="2"/>
  <c r="BO50" i="6" s="1"/>
  <c r="P65" i="2"/>
  <c r="BO51" i="6" s="1"/>
  <c r="Q65" i="2"/>
  <c r="BO52" i="6" s="1"/>
  <c r="M65" i="2"/>
  <c r="BO48" i="6" s="1"/>
  <c r="F91" i="4"/>
  <c r="F90" i="4"/>
  <c r="F89" i="4"/>
  <c r="F88" i="4"/>
  <c r="D91" i="4"/>
  <c r="D90" i="4"/>
  <c r="D89" i="4"/>
  <c r="D88" i="4"/>
  <c r="E76" i="4"/>
  <c r="F76" i="4"/>
  <c r="F75" i="4"/>
  <c r="F74" i="4"/>
  <c r="F73" i="4"/>
  <c r="D76" i="4"/>
  <c r="D75" i="4"/>
  <c r="D74" i="4"/>
  <c r="D73" i="4"/>
  <c r="C64" i="4"/>
  <c r="F177" i="4" s="1"/>
  <c r="D64" i="4"/>
  <c r="F178" i="4" s="1"/>
  <c r="E64" i="4"/>
  <c r="F64" i="4"/>
  <c r="J64" i="4"/>
  <c r="BO56" i="6" s="1"/>
  <c r="K64" i="4"/>
  <c r="BO57" i="6" s="1"/>
  <c r="L64" i="4"/>
  <c r="P64" i="4"/>
  <c r="Q64" i="4"/>
  <c r="G178" i="4" s="1"/>
  <c r="R64" i="4"/>
  <c r="S64" i="4"/>
  <c r="G180" i="4" s="1"/>
  <c r="V64" i="4"/>
  <c r="BO60" i="6" s="1"/>
  <c r="BP60" i="6" s="1"/>
  <c r="W64" i="4"/>
  <c r="BO61" i="6" s="1"/>
  <c r="X64" i="4"/>
  <c r="BO62" i="6" s="1"/>
  <c r="Y64" i="4"/>
  <c r="I64" i="4"/>
  <c r="BO55" i="6" s="1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G65" i="2"/>
  <c r="BO53" i="6" l="1"/>
  <c r="BO54" i="6"/>
  <c r="BP54" i="6" s="1"/>
  <c r="BO58" i="6"/>
  <c r="BO59" i="6"/>
  <c r="BP59" i="6" s="1"/>
  <c r="G90" i="4"/>
  <c r="G179" i="4"/>
  <c r="BN55" i="6"/>
  <c r="BP55" i="6" s="1"/>
  <c r="AG111" i="6"/>
  <c r="AA54" i="6"/>
  <c r="H34" i="6"/>
  <c r="C53" i="6"/>
  <c r="BN62" i="6"/>
  <c r="BP62" i="6" s="1"/>
  <c r="AA61" i="6"/>
  <c r="AG117" i="6"/>
  <c r="H41" i="6"/>
  <c r="C59" i="6"/>
  <c r="BN56" i="6"/>
  <c r="BP56" i="6" s="1"/>
  <c r="AA55" i="6"/>
  <c r="AG112" i="6"/>
  <c r="H35" i="6"/>
  <c r="C54" i="6"/>
  <c r="BO63" i="6"/>
  <c r="BO64" i="6"/>
  <c r="G74" i="4"/>
  <c r="V103" i="4" s="1"/>
  <c r="F228" i="2"/>
  <c r="AD134" i="2"/>
  <c r="E74" i="4"/>
  <c r="R107" i="4" s="1"/>
  <c r="E90" i="4"/>
  <c r="S104" i="4" s="1"/>
  <c r="F179" i="4"/>
  <c r="E91" i="4"/>
  <c r="E139" i="4" s="1"/>
  <c r="I10" i="6" s="1"/>
  <c r="F180" i="4"/>
  <c r="G73" i="4"/>
  <c r="G177" i="4"/>
  <c r="BN64" i="6"/>
  <c r="AG119" i="6"/>
  <c r="AA63" i="6"/>
  <c r="C61" i="6"/>
  <c r="H43" i="6"/>
  <c r="E88" i="4"/>
  <c r="S103" i="4" s="1"/>
  <c r="G91" i="4"/>
  <c r="W108" i="4" s="1"/>
  <c r="G89" i="4"/>
  <c r="H134" i="4"/>
  <c r="H136" i="4"/>
  <c r="E89" i="4"/>
  <c r="K92" i="4" s="1"/>
  <c r="L93" i="4"/>
  <c r="M73" i="4"/>
  <c r="E137" i="4"/>
  <c r="I8" i="6" s="1"/>
  <c r="E138" i="4"/>
  <c r="I9" i="6" s="1"/>
  <c r="K75" i="4"/>
  <c r="K76" i="4"/>
  <c r="K78" i="4"/>
  <c r="W168" i="2"/>
  <c r="C97" i="2"/>
  <c r="L92" i="4"/>
  <c r="M74" i="4"/>
  <c r="K77" i="4"/>
  <c r="M77" i="4"/>
  <c r="K73" i="4"/>
  <c r="AH107" i="4"/>
  <c r="L77" i="4"/>
  <c r="M75" i="4"/>
  <c r="L91" i="4"/>
  <c r="M78" i="4"/>
  <c r="AG103" i="4"/>
  <c r="Q103" i="4"/>
  <c r="J104" i="4"/>
  <c r="AG105" i="4"/>
  <c r="U105" i="4"/>
  <c r="J90" i="4"/>
  <c r="U104" i="4"/>
  <c r="J89" i="4"/>
  <c r="U103" i="4"/>
  <c r="J88" i="4"/>
  <c r="L106" i="4"/>
  <c r="AG104" i="4"/>
  <c r="L105" i="4"/>
  <c r="L104" i="4"/>
  <c r="Q105" i="4"/>
  <c r="J106" i="4"/>
  <c r="Q104" i="4"/>
  <c r="J105" i="4"/>
  <c r="U107" i="4"/>
  <c r="J92" i="4"/>
  <c r="U106" i="4"/>
  <c r="J91" i="4"/>
  <c r="AG107" i="4"/>
  <c r="L108" i="4"/>
  <c r="L107" i="4"/>
  <c r="J107" i="4"/>
  <c r="AG106" i="4"/>
  <c r="Q107" i="4"/>
  <c r="J108" i="4"/>
  <c r="Q106" i="4"/>
  <c r="K89" i="4"/>
  <c r="S105" i="4"/>
  <c r="L90" i="4"/>
  <c r="U108" i="4"/>
  <c r="J93" i="4"/>
  <c r="L109" i="4"/>
  <c r="AG108" i="4"/>
  <c r="Q108" i="4"/>
  <c r="J109" i="4"/>
  <c r="M76" i="4"/>
  <c r="L88" i="4"/>
  <c r="E73" i="4"/>
  <c r="L89" i="4"/>
  <c r="E75" i="4"/>
  <c r="D137" i="4" s="1"/>
  <c r="G75" i="4"/>
  <c r="N74" i="4" s="1"/>
  <c r="G76" i="4"/>
  <c r="N75" i="4" s="1"/>
  <c r="G88" i="4"/>
  <c r="K74" i="4"/>
  <c r="D71" i="2"/>
  <c r="H65" i="2"/>
  <c r="F229" i="2" s="1"/>
  <c r="D65" i="2"/>
  <c r="E65" i="2"/>
  <c r="F65" i="2"/>
  <c r="C65" i="2"/>
  <c r="L101" i="1"/>
  <c r="M65" i="1"/>
  <c r="L96" i="1" s="1"/>
  <c r="AJ65" i="1"/>
  <c r="AK65" i="1"/>
  <c r="AL65" i="1"/>
  <c r="AI65" i="1"/>
  <c r="V65" i="1"/>
  <c r="M97" i="1" s="1"/>
  <c r="P97" i="1" s="1"/>
  <c r="W65" i="1"/>
  <c r="M98" i="1" s="1"/>
  <c r="P98" i="1" s="1"/>
  <c r="X65" i="1"/>
  <c r="M99" i="1" s="1"/>
  <c r="P99" i="1" s="1"/>
  <c r="Y65" i="1"/>
  <c r="M100" i="1" s="1"/>
  <c r="P100" i="1" s="1"/>
  <c r="Z65" i="1"/>
  <c r="M101" i="1" s="1"/>
  <c r="P101" i="1" s="1"/>
  <c r="U65" i="1"/>
  <c r="M96" i="1" s="1"/>
  <c r="P96" i="1" s="1"/>
  <c r="R65" i="1"/>
  <c r="BN57" i="6" l="1"/>
  <c r="BP57" i="6" s="1"/>
  <c r="AA56" i="6"/>
  <c r="AG113" i="6"/>
  <c r="H36" i="6"/>
  <c r="C55" i="6"/>
  <c r="K90" i="4"/>
  <c r="AI105" i="4"/>
  <c r="V107" i="4"/>
  <c r="AL108" i="4"/>
  <c r="K93" i="4"/>
  <c r="N77" i="4"/>
  <c r="M93" i="4"/>
  <c r="BN52" i="6"/>
  <c r="BP52" i="6" s="1"/>
  <c r="AA51" i="6"/>
  <c r="AG94" i="6"/>
  <c r="C50" i="6"/>
  <c r="H30" i="6"/>
  <c r="AI104" i="4"/>
  <c r="AI108" i="4"/>
  <c r="AK107" i="4"/>
  <c r="I139" i="4"/>
  <c r="K10" i="6" s="1"/>
  <c r="O101" i="1"/>
  <c r="Q101" i="1"/>
  <c r="S107" i="4"/>
  <c r="D138" i="4"/>
  <c r="H138" i="4"/>
  <c r="Q96" i="1"/>
  <c r="O96" i="1"/>
  <c r="F224" i="2"/>
  <c r="AD121" i="2"/>
  <c r="AD122" i="2"/>
  <c r="AD120" i="2"/>
  <c r="AD124" i="2"/>
  <c r="AD123" i="2"/>
  <c r="F227" i="2"/>
  <c r="AD132" i="2"/>
  <c r="AD133" i="2"/>
  <c r="K91" i="4"/>
  <c r="AK105" i="4"/>
  <c r="BN63" i="6"/>
  <c r="BP63" i="6" s="1"/>
  <c r="AA62" i="6"/>
  <c r="AG118" i="6"/>
  <c r="C60" i="6"/>
  <c r="H42" i="6"/>
  <c r="AE134" i="2"/>
  <c r="F226" i="2"/>
  <c r="AD131" i="2"/>
  <c r="AD130" i="2"/>
  <c r="AD129" i="2"/>
  <c r="AI106" i="4"/>
  <c r="N73" i="4"/>
  <c r="S108" i="4"/>
  <c r="F225" i="2"/>
  <c r="AD127" i="2"/>
  <c r="AD126" i="2"/>
  <c r="AD125" i="2"/>
  <c r="AD128" i="2"/>
  <c r="E136" i="4"/>
  <c r="I7" i="6" s="1"/>
  <c r="V105" i="4"/>
  <c r="BN53" i="6"/>
  <c r="BP53" i="6" s="1"/>
  <c r="AA52" i="6"/>
  <c r="AG95" i="6"/>
  <c r="C51" i="6"/>
  <c r="H31" i="6"/>
  <c r="E135" i="4"/>
  <c r="I6" i="6" s="1"/>
  <c r="BP64" i="6"/>
  <c r="R106" i="4"/>
  <c r="E134" i="4"/>
  <c r="I5" i="6" s="1"/>
  <c r="AK103" i="4"/>
  <c r="BN61" i="6"/>
  <c r="BP61" i="6" s="1"/>
  <c r="AA60" i="6"/>
  <c r="AG116" i="6"/>
  <c r="C58" i="6"/>
  <c r="H40" i="6"/>
  <c r="BN58" i="6"/>
  <c r="BP58" i="6" s="1"/>
  <c r="AG114" i="6"/>
  <c r="AA57" i="6"/>
  <c r="C56" i="6"/>
  <c r="H37" i="6"/>
  <c r="K88" i="4"/>
  <c r="S106" i="4"/>
  <c r="H139" i="4"/>
  <c r="N78" i="4"/>
  <c r="V108" i="4"/>
  <c r="AK108" i="4"/>
  <c r="V104" i="4"/>
  <c r="AK104" i="4"/>
  <c r="N76" i="4"/>
  <c r="H135" i="4"/>
  <c r="V106" i="4"/>
  <c r="I138" i="4"/>
  <c r="K9" i="6" s="1"/>
  <c r="I137" i="4"/>
  <c r="K8" i="6" s="1"/>
  <c r="AL106" i="4"/>
  <c r="W107" i="4"/>
  <c r="M92" i="4"/>
  <c r="M91" i="4"/>
  <c r="W106" i="4"/>
  <c r="AL107" i="4"/>
  <c r="I134" i="4"/>
  <c r="K5" i="6" s="1"/>
  <c r="I136" i="4"/>
  <c r="K7" i="6" s="1"/>
  <c r="I135" i="4"/>
  <c r="K6" i="6" s="1"/>
  <c r="AL104" i="4"/>
  <c r="W105" i="4"/>
  <c r="W104" i="4"/>
  <c r="W103" i="4"/>
  <c r="M90" i="4"/>
  <c r="M89" i="4"/>
  <c r="AL103" i="4"/>
  <c r="M88" i="4"/>
  <c r="AL105" i="4"/>
  <c r="AI103" i="4"/>
  <c r="AI107" i="4"/>
  <c r="AK106" i="4"/>
  <c r="H137" i="4"/>
  <c r="L76" i="4"/>
  <c r="D139" i="4"/>
  <c r="D136" i="4"/>
  <c r="D134" i="4"/>
  <c r="D135" i="4"/>
  <c r="W101" i="2"/>
  <c r="P76" i="2"/>
  <c r="P75" i="2"/>
  <c r="W100" i="2"/>
  <c r="P74" i="2"/>
  <c r="P73" i="2"/>
  <c r="W99" i="2"/>
  <c r="P72" i="2"/>
  <c r="S168" i="2"/>
  <c r="W102" i="2"/>
  <c r="W103" i="2"/>
  <c r="C93" i="2"/>
  <c r="X168" i="2"/>
  <c r="C98" i="2"/>
  <c r="P85" i="2"/>
  <c r="V168" i="2"/>
  <c r="W112" i="2"/>
  <c r="P84" i="2"/>
  <c r="W111" i="2"/>
  <c r="C96" i="2"/>
  <c r="P86" i="2"/>
  <c r="W109" i="2"/>
  <c r="W108" i="2"/>
  <c r="P82" i="2"/>
  <c r="U168" i="2"/>
  <c r="P83" i="2"/>
  <c r="W110" i="2"/>
  <c r="P81" i="2"/>
  <c r="C95" i="2"/>
  <c r="H107" i="2"/>
  <c r="X113" i="2"/>
  <c r="W107" i="2"/>
  <c r="W106" i="2"/>
  <c r="W105" i="2"/>
  <c r="T168" i="2"/>
  <c r="W104" i="2"/>
  <c r="P80" i="2"/>
  <c r="P78" i="2"/>
  <c r="P79" i="2"/>
  <c r="P77" i="2"/>
  <c r="C94" i="2"/>
  <c r="W113" i="2"/>
  <c r="AH106" i="4"/>
  <c r="R105" i="4"/>
  <c r="AH105" i="4"/>
  <c r="R103" i="4"/>
  <c r="L75" i="4"/>
  <c r="L74" i="4"/>
  <c r="AH104" i="4"/>
  <c r="L73" i="4"/>
  <c r="R104" i="4"/>
  <c r="AH103" i="4"/>
  <c r="L78" i="4"/>
  <c r="R108" i="4"/>
  <c r="AH108" i="4"/>
  <c r="Q65" i="1"/>
  <c r="L100" i="1" s="1"/>
  <c r="P65" i="1"/>
  <c r="L99" i="1" s="1"/>
  <c r="O65" i="1"/>
  <c r="L98" i="1" s="1"/>
  <c r="N65" i="1"/>
  <c r="L97" i="1" s="1"/>
  <c r="G65" i="1"/>
  <c r="F65" i="1"/>
  <c r="E65" i="1"/>
  <c r="C65" i="1"/>
  <c r="D65" i="1"/>
  <c r="B65" i="1"/>
  <c r="O99" i="1" l="1"/>
  <c r="Q99" i="1"/>
  <c r="Q100" i="1"/>
  <c r="O100" i="1"/>
  <c r="BN48" i="6"/>
  <c r="BP48" i="6" s="1"/>
  <c r="AG90" i="6"/>
  <c r="AA47" i="6"/>
  <c r="C46" i="6"/>
  <c r="H26" i="6"/>
  <c r="AE132" i="2"/>
  <c r="AE133" i="2"/>
  <c r="BN49" i="6"/>
  <c r="BP49" i="6" s="1"/>
  <c r="AG91" i="6"/>
  <c r="AA48" i="6"/>
  <c r="C47" i="6"/>
  <c r="H27" i="6"/>
  <c r="AE121" i="2"/>
  <c r="AE124" i="2"/>
  <c r="AE120" i="2"/>
  <c r="AE122" i="2"/>
  <c r="AE123" i="2"/>
  <c r="BN51" i="6"/>
  <c r="BP51" i="6" s="1"/>
  <c r="AA50" i="6"/>
  <c r="AG93" i="6"/>
  <c r="C49" i="6"/>
  <c r="H29" i="6"/>
  <c r="AE126" i="2"/>
  <c r="AE128" i="2"/>
  <c r="AE125" i="2"/>
  <c r="AE127" i="2"/>
  <c r="O97" i="1"/>
  <c r="Q97" i="1"/>
  <c r="BN50" i="6"/>
  <c r="BP50" i="6" s="1"/>
  <c r="AA49" i="6"/>
  <c r="AG92" i="6"/>
  <c r="C48" i="6"/>
  <c r="H28" i="6"/>
  <c r="AE131" i="2"/>
  <c r="AE130" i="2"/>
  <c r="AE129" i="2"/>
  <c r="O98" i="1"/>
  <c r="Q98" i="1"/>
  <c r="X109" i="2"/>
  <c r="H102" i="2"/>
  <c r="X108" i="2"/>
  <c r="H103" i="2"/>
  <c r="H104" i="2"/>
  <c r="X110" i="2"/>
  <c r="H97" i="2"/>
  <c r="X103" i="2"/>
  <c r="X102" i="2"/>
  <c r="H95" i="2"/>
  <c r="H96" i="2"/>
  <c r="X101" i="2"/>
  <c r="H94" i="2"/>
  <c r="X100" i="2"/>
  <c r="H93" i="2"/>
  <c r="X99" i="2"/>
  <c r="H101" i="2"/>
  <c r="X107" i="2"/>
  <c r="H100" i="2"/>
  <c r="X106" i="2"/>
  <c r="H99" i="2"/>
  <c r="X105" i="2"/>
  <c r="H98" i="2"/>
  <c r="X104" i="2"/>
  <c r="X112" i="2"/>
  <c r="X111" i="2"/>
  <c r="H106" i="2"/>
  <c r="H105" i="2"/>
</calcChain>
</file>

<file path=xl/sharedStrings.xml><?xml version="1.0" encoding="utf-8"?>
<sst xmlns="http://schemas.openxmlformats.org/spreadsheetml/2006/main" count="1803" uniqueCount="476">
  <si>
    <t>100N16M</t>
    <phoneticPr fontId="1"/>
  </si>
  <si>
    <t>100N12M</t>
    <phoneticPr fontId="1"/>
  </si>
  <si>
    <t>100N8M</t>
    <phoneticPr fontId="1"/>
  </si>
  <si>
    <t>100N4M</t>
    <phoneticPr fontId="1"/>
  </si>
  <si>
    <t>100N2M</t>
    <phoneticPr fontId="1"/>
  </si>
  <si>
    <t>100N1M</t>
    <phoneticPr fontId="1"/>
  </si>
  <si>
    <t>室温</t>
    <rPh sb="0" eb="2">
      <t>シツオン</t>
    </rPh>
    <phoneticPr fontId="1"/>
  </si>
  <si>
    <t>27℃</t>
    <phoneticPr fontId="1"/>
  </si>
  <si>
    <t>28℃</t>
    <phoneticPr fontId="1"/>
  </si>
  <si>
    <t>28℃</t>
  </si>
  <si>
    <t>旧方法</t>
    <rPh sb="0" eb="3">
      <t>キュウホウホウ</t>
    </rPh>
    <phoneticPr fontId="1"/>
  </si>
  <si>
    <t>新しい方法</t>
    <rPh sb="0" eb="1">
      <t>アタラ</t>
    </rPh>
    <rPh sb="3" eb="5">
      <t>ホウホウ</t>
    </rPh>
    <phoneticPr fontId="1"/>
  </si>
  <si>
    <t xml:space="preserve"> </t>
    <phoneticPr fontId="1"/>
  </si>
  <si>
    <t>300N4M</t>
    <phoneticPr fontId="1"/>
  </si>
  <si>
    <t>300N3M</t>
    <phoneticPr fontId="1"/>
  </si>
  <si>
    <t>300N2M</t>
  </si>
  <si>
    <t>300N1M</t>
  </si>
  <si>
    <t>RouteR社</t>
    <rPh sb="6" eb="7">
      <t>シャ</t>
    </rPh>
    <phoneticPr fontId="1"/>
  </si>
  <si>
    <t>COOWOO社</t>
    <rPh sb="6" eb="7">
      <t>シャ</t>
    </rPh>
    <phoneticPr fontId="1"/>
  </si>
  <si>
    <t xml:space="preserve"> </t>
    <phoneticPr fontId="1"/>
  </si>
  <si>
    <t>RouteR社</t>
  </si>
  <si>
    <t>62.5MHz</t>
    <phoneticPr fontId="1"/>
  </si>
  <si>
    <t>125MHz</t>
    <phoneticPr fontId="1"/>
  </si>
  <si>
    <t>100N16M</t>
  </si>
  <si>
    <t>100N12M</t>
  </si>
  <si>
    <t>100N8M</t>
  </si>
  <si>
    <t>100N4M</t>
  </si>
  <si>
    <t>100N2M</t>
  </si>
  <si>
    <t>100N1M</t>
  </si>
  <si>
    <t>LUT</t>
  </si>
  <si>
    <t>300N4M</t>
  </si>
  <si>
    <t>300N3M</t>
  </si>
  <si>
    <t>平均</t>
    <rPh sb="0" eb="2">
      <t>ヘイキン</t>
    </rPh>
    <phoneticPr fontId="1"/>
  </si>
  <si>
    <t>グラフ</t>
    <phoneticPr fontId="1"/>
  </si>
  <si>
    <t>データ</t>
    <phoneticPr fontId="1"/>
  </si>
  <si>
    <t>16M-12M</t>
    <phoneticPr fontId="1"/>
  </si>
  <si>
    <t>16M-8M</t>
    <phoneticPr fontId="1"/>
  </si>
  <si>
    <t>16M-4M</t>
    <phoneticPr fontId="1"/>
  </si>
  <si>
    <t>16M-2M</t>
    <phoneticPr fontId="1"/>
  </si>
  <si>
    <t>16M-1M</t>
    <phoneticPr fontId="1"/>
  </si>
  <si>
    <t>12M -8M</t>
    <phoneticPr fontId="1"/>
  </si>
  <si>
    <t>12M-4M</t>
    <phoneticPr fontId="1"/>
  </si>
  <si>
    <t>12M-2M</t>
    <phoneticPr fontId="1"/>
  </si>
  <si>
    <t>12M-1M</t>
    <phoneticPr fontId="1"/>
  </si>
  <si>
    <t>LUT</t>
    <phoneticPr fontId="1"/>
  </si>
  <si>
    <t>POWER</t>
    <phoneticPr fontId="1"/>
  </si>
  <si>
    <t>8M-4M</t>
    <phoneticPr fontId="1"/>
  </si>
  <si>
    <t>8M-2M</t>
    <phoneticPr fontId="1"/>
  </si>
  <si>
    <t>8M-1M</t>
    <phoneticPr fontId="1"/>
  </si>
  <si>
    <t>4M-2M</t>
    <phoneticPr fontId="1"/>
  </si>
  <si>
    <t>4M-1M</t>
    <phoneticPr fontId="1"/>
  </si>
  <si>
    <t>2M-1M</t>
    <phoneticPr fontId="1"/>
  </si>
  <si>
    <t>(実測)</t>
    <rPh sb="1" eb="3">
      <t>ジッソク</t>
    </rPh>
    <phoneticPr fontId="1"/>
  </si>
  <si>
    <t>InputData停止</t>
    <rPh sb="9" eb="11">
      <t>テイシ</t>
    </rPh>
    <phoneticPr fontId="1"/>
  </si>
  <si>
    <t>RouteR社</t>
    <rPh sb="6" eb="7">
      <t>シャ</t>
    </rPh>
    <phoneticPr fontId="1"/>
  </si>
  <si>
    <t>100N16M</t>
    <phoneticPr fontId="1"/>
  </si>
  <si>
    <t>(2)テスト回路ごとに電力とLUT数を比較</t>
    <rPh sb="6" eb="8">
      <t>カイロ</t>
    </rPh>
    <rPh sb="11" eb="13">
      <t>デンリョク</t>
    </rPh>
    <rPh sb="17" eb="18">
      <t>スウ</t>
    </rPh>
    <rPh sb="19" eb="21">
      <t>ヒカク</t>
    </rPh>
    <phoneticPr fontId="1"/>
  </si>
  <si>
    <t>POWER</t>
    <phoneticPr fontId="1"/>
  </si>
  <si>
    <t>LUT</t>
    <phoneticPr fontId="1"/>
  </si>
  <si>
    <t>(1)テスト回路動作時電力</t>
    <rPh sb="6" eb="8">
      <t>カイロ</t>
    </rPh>
    <rPh sb="8" eb="13">
      <t>ドウサジデンリョク</t>
    </rPh>
    <phoneticPr fontId="1"/>
  </si>
  <si>
    <t>(1)テスト回路動作時電力</t>
    <phoneticPr fontId="1"/>
  </si>
  <si>
    <t>(2)テスト回路ごとに電力とLUT数を比較</t>
    <rPh sb="6" eb="8">
      <t>カイロ</t>
    </rPh>
    <rPh sb="11" eb="13">
      <t>デンリョク</t>
    </rPh>
    <rPh sb="17" eb="18">
      <t>スウ</t>
    </rPh>
    <rPh sb="19" eb="21">
      <t>ヒカク</t>
    </rPh>
    <phoneticPr fontId="1"/>
  </si>
  <si>
    <t xml:space="preserve">300N2M </t>
    <phoneticPr fontId="1"/>
  </si>
  <si>
    <t>300N1M</t>
    <phoneticPr fontId="1"/>
  </si>
  <si>
    <t>動作時</t>
    <phoneticPr fontId="1"/>
  </si>
  <si>
    <t>停止時</t>
    <phoneticPr fontId="1"/>
  </si>
  <si>
    <t>(1)テスト回路ごとに電力とLUT数を比較</t>
    <rPh sb="6" eb="8">
      <t>カイロ</t>
    </rPh>
    <rPh sb="11" eb="13">
      <t>デンリョク</t>
    </rPh>
    <rPh sb="17" eb="18">
      <t>スウ</t>
    </rPh>
    <rPh sb="19" eb="21">
      <t>ヒカク</t>
    </rPh>
    <phoneticPr fontId="1"/>
  </si>
  <si>
    <t>①</t>
    <phoneticPr fontId="1"/>
  </si>
  <si>
    <t>4M-3M</t>
    <phoneticPr fontId="1"/>
  </si>
  <si>
    <t>3M-2M</t>
    <phoneticPr fontId="1"/>
  </si>
  <si>
    <t>3M-1M</t>
    <phoneticPr fontId="1"/>
  </si>
  <si>
    <t>②</t>
    <phoneticPr fontId="1"/>
  </si>
  <si>
    <t>③推定動作時電力で比較</t>
    <rPh sb="1" eb="3">
      <t>スイテイ</t>
    </rPh>
    <rPh sb="3" eb="5">
      <t>ドウサ</t>
    </rPh>
    <rPh sb="5" eb="6">
      <t>ジ</t>
    </rPh>
    <rPh sb="6" eb="8">
      <t>デンリョク</t>
    </rPh>
    <rPh sb="9" eb="11">
      <t>ヒカク</t>
    </rPh>
    <phoneticPr fontId="1"/>
  </si>
  <si>
    <t>①</t>
    <phoneticPr fontId="1"/>
  </si>
  <si>
    <t>②</t>
    <phoneticPr fontId="1"/>
  </si>
  <si>
    <t>do</t>
    <phoneticPr fontId="1"/>
  </si>
  <si>
    <t>④推定動作時電力ー推定停止時電力で比較</t>
    <rPh sb="1" eb="3">
      <t>スイテイ</t>
    </rPh>
    <rPh sb="3" eb="5">
      <t>ドウサ</t>
    </rPh>
    <rPh sb="5" eb="6">
      <t>ジ</t>
    </rPh>
    <rPh sb="6" eb="8">
      <t>デンリョク</t>
    </rPh>
    <rPh sb="9" eb="11">
      <t>スイテイ</t>
    </rPh>
    <rPh sb="11" eb="14">
      <t>テイシジ</t>
    </rPh>
    <rPh sb="14" eb="16">
      <t>デンリョク</t>
    </rPh>
    <rPh sb="17" eb="19">
      <t>ヒカク</t>
    </rPh>
    <phoneticPr fontId="1"/>
  </si>
  <si>
    <t>動作時</t>
    <rPh sb="0" eb="3">
      <t>ドウサジ</t>
    </rPh>
    <phoneticPr fontId="1"/>
  </si>
  <si>
    <t>停止時</t>
    <rPh sb="0" eb="3">
      <t>テイシジ</t>
    </rPh>
    <phoneticPr fontId="1"/>
  </si>
  <si>
    <t>動作時‐停止時</t>
    <rPh sb="0" eb="3">
      <t>ドウサジ</t>
    </rPh>
    <rPh sb="4" eb="7">
      <t>テイシジ</t>
    </rPh>
    <phoneticPr fontId="1"/>
  </si>
  <si>
    <t>POWER</t>
    <phoneticPr fontId="1"/>
  </si>
  <si>
    <t>Plan.1 Power</t>
    <phoneticPr fontId="1"/>
  </si>
  <si>
    <t>Plan.2 Power</t>
    <phoneticPr fontId="1"/>
  </si>
  <si>
    <t>Estimation</t>
    <phoneticPr fontId="1"/>
  </si>
  <si>
    <t>③</t>
    <phoneticPr fontId="1"/>
  </si>
  <si>
    <t>62.5MHz</t>
  </si>
  <si>
    <t>125MHz</t>
  </si>
  <si>
    <t>全て比較</t>
    <rPh sb="0" eb="1">
      <t>スベ</t>
    </rPh>
    <rPh sb="2" eb="4">
      <t>ヒカク</t>
    </rPh>
    <phoneticPr fontId="1"/>
  </si>
  <si>
    <t>62.5MHz</t>
    <phoneticPr fontId="1"/>
  </si>
  <si>
    <t>125MHz</t>
    <phoneticPr fontId="1"/>
  </si>
  <si>
    <t>LUT</t>
    <phoneticPr fontId="1"/>
  </si>
  <si>
    <t>配置配線固定なし</t>
    <rPh sb="0" eb="2">
      <t>ハイチ</t>
    </rPh>
    <rPh sb="2" eb="4">
      <t>ハイセン</t>
    </rPh>
    <rPh sb="4" eb="6">
      <t>コテイ</t>
    </rPh>
    <phoneticPr fontId="1"/>
  </si>
  <si>
    <t>⑤１MあたりのLUT､電力</t>
    <phoneticPr fontId="1"/>
  </si>
  <si>
    <t>LUT/1M</t>
    <phoneticPr fontId="1"/>
  </si>
  <si>
    <t>推定</t>
    <rPh sb="0" eb="2">
      <t>スイテイ</t>
    </rPh>
    <phoneticPr fontId="1"/>
  </si>
  <si>
    <t>Mの差</t>
    <rPh sb="2" eb="3">
      <t>サ</t>
    </rPh>
    <phoneticPr fontId="1"/>
  </si>
  <si>
    <t>想定LUT数</t>
    <phoneticPr fontId="1"/>
  </si>
  <si>
    <t>実測LUT数</t>
    <phoneticPr fontId="1"/>
  </si>
  <si>
    <t>実測‐想定LUT数</t>
    <phoneticPr fontId="1"/>
  </si>
  <si>
    <t>Implementation LUT</t>
    <phoneticPr fontId="1"/>
  </si>
  <si>
    <t>Synthesis LUT</t>
  </si>
  <si>
    <t>LUTのSynthesisに変更</t>
    <rPh sb="14" eb="16">
      <t>ヘンコウ</t>
    </rPh>
    <phoneticPr fontId="1"/>
  </si>
  <si>
    <t>LUTをSynthesisに変更</t>
    <rPh sb="14" eb="16">
      <t>ヘンコウ</t>
    </rPh>
    <phoneticPr fontId="1"/>
  </si>
  <si>
    <t xml:space="preserve">Assumption LUT </t>
    <phoneticPr fontId="1"/>
  </si>
  <si>
    <t>(1)テスト回路ごとに電力とLUT数を比較 (動作時ー停止時)</t>
    <rPh sb="6" eb="8">
      <t>カイロ</t>
    </rPh>
    <rPh sb="11" eb="13">
      <t>デンリョク</t>
    </rPh>
    <rPh sb="17" eb="18">
      <t>スウ</t>
    </rPh>
    <rPh sb="19" eb="21">
      <t>ヒカク</t>
    </rPh>
    <rPh sb="23" eb="26">
      <t>ドウサジ</t>
    </rPh>
    <rPh sb="27" eb="30">
      <t>テイシジ</t>
    </rPh>
    <phoneticPr fontId="1"/>
  </si>
  <si>
    <t>推定電力</t>
  </si>
  <si>
    <t>方法１、２、推定の比較</t>
    <rPh sb="0" eb="2">
      <t>ホウホウ</t>
    </rPh>
    <rPh sb="6" eb="8">
      <t>スイテイ</t>
    </rPh>
    <rPh sb="9" eb="11">
      <t>ヒカク</t>
    </rPh>
    <phoneticPr fontId="1"/>
  </si>
  <si>
    <t>③－2</t>
    <phoneticPr fontId="1"/>
  </si>
  <si>
    <t>300N5M</t>
    <phoneticPr fontId="1"/>
  </si>
  <si>
    <t>400N5M</t>
    <phoneticPr fontId="1"/>
  </si>
  <si>
    <t>5M-4M</t>
    <phoneticPr fontId="1"/>
  </si>
  <si>
    <t>5M-3M</t>
    <phoneticPr fontId="1"/>
  </si>
  <si>
    <t>5M-2M</t>
    <phoneticPr fontId="1"/>
  </si>
  <si>
    <t>5M-1M</t>
    <phoneticPr fontId="1"/>
  </si>
  <si>
    <t>5段目追加</t>
    <phoneticPr fontId="1"/>
  </si>
  <si>
    <t>300N4M~1M62.5MHz</t>
    <phoneticPr fontId="1"/>
  </si>
  <si>
    <t>300N4M~1M125MHz</t>
    <phoneticPr fontId="1"/>
  </si>
  <si>
    <t>SynthesisLUT</t>
  </si>
  <si>
    <t>SynthesisLUT</t>
    <phoneticPr fontId="1"/>
  </si>
  <si>
    <t>100N16M~1M</t>
    <phoneticPr fontId="1"/>
  </si>
  <si>
    <t>⑥比較せずに</t>
    <rPh sb="1" eb="3">
      <t>ヒカク</t>
    </rPh>
    <phoneticPr fontId="1"/>
  </si>
  <si>
    <t>テスト回路名</t>
    <rPh sb="3" eb="6">
      <t>カイロメイ</t>
    </rPh>
    <phoneticPr fontId="1"/>
  </si>
  <si>
    <t>レジスタ数</t>
    <rPh sb="4" eb="5">
      <t>スウ</t>
    </rPh>
    <phoneticPr fontId="1"/>
  </si>
  <si>
    <t>NOT段数</t>
    <rPh sb="3" eb="5">
      <t>ダンスウ</t>
    </rPh>
    <phoneticPr fontId="1"/>
  </si>
  <si>
    <t>LUT</t>
    <phoneticPr fontId="1"/>
  </si>
  <si>
    <t>電力</t>
    <rPh sb="0" eb="2">
      <t>デンリョク</t>
    </rPh>
    <phoneticPr fontId="1"/>
  </si>
  <si>
    <t>⑥</t>
    <phoneticPr fontId="1"/>
  </si>
  <si>
    <t>62.5MHz電力</t>
    <rPh sb="7" eb="9">
      <t>デンリョク</t>
    </rPh>
    <phoneticPr fontId="1"/>
  </si>
  <si>
    <t>125MHz電力</t>
    <rPh sb="6" eb="8">
      <t>デンリョク</t>
    </rPh>
    <phoneticPr fontId="1"/>
  </si>
  <si>
    <t>100N62.5MHz電力</t>
    <rPh sb="11" eb="13">
      <t>デンリョク</t>
    </rPh>
    <phoneticPr fontId="1"/>
  </si>
  <si>
    <t>300N125MHz電力</t>
    <rPh sb="10" eb="12">
      <t>デンリョク</t>
    </rPh>
    <phoneticPr fontId="1"/>
  </si>
  <si>
    <t>300N62.5MHz電力</t>
    <rPh sb="11" eb="13">
      <t>デンリョク</t>
    </rPh>
    <phoneticPr fontId="1"/>
  </si>
  <si>
    <t>imp LUT</t>
    <phoneticPr fontId="1"/>
  </si>
  <si>
    <t>syn LUT</t>
    <phoneticPr fontId="1"/>
  </si>
  <si>
    <t>100N0m</t>
    <phoneticPr fontId="1"/>
  </si>
  <si>
    <t>100N0M</t>
    <phoneticPr fontId="1"/>
  </si>
  <si>
    <t>100N0M</t>
    <phoneticPr fontId="1"/>
  </si>
  <si>
    <t>300N0M</t>
  </si>
  <si>
    <t>300N0M</t>
    <phoneticPr fontId="1"/>
  </si>
  <si>
    <t>300N0M</t>
    <phoneticPr fontId="1"/>
  </si>
  <si>
    <t>分析用</t>
    <rPh sb="2" eb="3">
      <t>ヨウ</t>
    </rPh>
    <phoneticPr fontId="1"/>
  </si>
  <si>
    <t>サンプル</t>
    <phoneticPr fontId="1"/>
  </si>
  <si>
    <t>X2 （N：ステージ数）</t>
    <rPh sb="10" eb="11">
      <t>スウ</t>
    </rPh>
    <phoneticPr fontId="1"/>
  </si>
  <si>
    <t>X3（M：Not段数）</t>
    <rPh sb="8" eb="10">
      <t>ダンスウ</t>
    </rPh>
    <phoneticPr fontId="1"/>
  </si>
  <si>
    <t>サンプル名</t>
    <rPh sb="4" eb="5">
      <t>メイ</t>
    </rPh>
    <phoneticPr fontId="1"/>
  </si>
  <si>
    <t>Y（電力[W]）</t>
    <rPh sb="2" eb="4">
      <t>デンリョク</t>
    </rPh>
    <phoneticPr fontId="1"/>
  </si>
  <si>
    <t>X1（周波数[MHz]）</t>
    <rPh sb="3" eb="6">
      <t>シュウハスウ</t>
    </rPh>
    <phoneticPr fontId="1"/>
  </si>
  <si>
    <t>概要</t>
  </si>
  <si>
    <t>回帰統計</t>
  </si>
  <si>
    <t>重相関 R</t>
  </si>
  <si>
    <t>重決定 R2</t>
  </si>
  <si>
    <t>補正 R2</t>
  </si>
  <si>
    <t>標準誤差</t>
  </si>
  <si>
    <t>観測数</t>
  </si>
  <si>
    <t>分散分析表</t>
  </si>
  <si>
    <t>回帰</t>
  </si>
  <si>
    <t>残差</t>
  </si>
  <si>
    <t>合計</t>
  </si>
  <si>
    <t>切片</t>
  </si>
  <si>
    <t>自由度</t>
  </si>
  <si>
    <t>変動</t>
  </si>
  <si>
    <t>分散</t>
  </si>
  <si>
    <t>観測された分散比</t>
  </si>
  <si>
    <t>有意 F</t>
  </si>
  <si>
    <t>係数</t>
  </si>
  <si>
    <t xml:space="preserve">t </t>
  </si>
  <si>
    <t>P-値</t>
  </si>
  <si>
    <t>下限 95%</t>
  </si>
  <si>
    <t>上限 95%</t>
  </si>
  <si>
    <t>下限 95.0%</t>
  </si>
  <si>
    <t>上限 95.0%</t>
  </si>
  <si>
    <t>X 値 1</t>
  </si>
  <si>
    <t>X 値 2</t>
  </si>
  <si>
    <t>X 値 3</t>
  </si>
  <si>
    <t>切片</t>
    <rPh sb="0" eb="2">
      <t>セッペン</t>
    </rPh>
    <phoneticPr fontId="1"/>
  </si>
  <si>
    <t>得た係数をもとに推定した電力</t>
    <rPh sb="0" eb="1">
      <t>エ</t>
    </rPh>
    <rPh sb="2" eb="4">
      <t>ケイスウ</t>
    </rPh>
    <rPh sb="8" eb="10">
      <t>スイテイ</t>
    </rPh>
    <rPh sb="12" eb="14">
      <t>デンリョク</t>
    </rPh>
    <phoneticPr fontId="1"/>
  </si>
  <si>
    <t>X2-1Reginum</t>
    <phoneticPr fontId="1"/>
  </si>
  <si>
    <t>X3-1 Imp LUTnum</t>
    <phoneticPr fontId="1"/>
  </si>
  <si>
    <t>レジスタ数、ImpLUT数を変数に</t>
    <rPh sb="4" eb="5">
      <t>スウ</t>
    </rPh>
    <rPh sb="12" eb="13">
      <t>スウ</t>
    </rPh>
    <rPh sb="14" eb="16">
      <t>ヘンスウ</t>
    </rPh>
    <phoneticPr fontId="1"/>
  </si>
  <si>
    <t>①3変数重回帰分析</t>
    <rPh sb="2" eb="4">
      <t>ヘンスウ</t>
    </rPh>
    <rPh sb="4" eb="7">
      <t>ジュウカイキ</t>
    </rPh>
    <rPh sb="7" eb="9">
      <t>ブンセキ</t>
    </rPh>
    <phoneticPr fontId="1"/>
  </si>
  <si>
    <t>②100N16M～0M LUT数単変数回帰分析</t>
    <rPh sb="15" eb="16">
      <t>スウ</t>
    </rPh>
    <rPh sb="16" eb="19">
      <t>タンヘンスウ</t>
    </rPh>
    <rPh sb="19" eb="23">
      <t>カイキブンセキ</t>
    </rPh>
    <phoneticPr fontId="1"/>
  </si>
  <si>
    <t>③300Ｎ4Ｍ～１Ｍ</t>
    <phoneticPr fontId="1"/>
  </si>
  <si>
    <t>予備</t>
    <rPh sb="0" eb="2">
      <t>ヨビ</t>
    </rPh>
    <phoneticPr fontId="1"/>
  </si>
  <si>
    <t>X3（LUT数）</t>
    <rPh sb="6" eb="7">
      <t>スウ</t>
    </rPh>
    <phoneticPr fontId="1"/>
  </si>
  <si>
    <t>X1（LUT数）</t>
    <rPh sb="6" eb="7">
      <t>スウ</t>
    </rPh>
    <phoneticPr fontId="1"/>
  </si>
  <si>
    <t>X2（周波数[MHz]）</t>
    <rPh sb="3" eb="6">
      <t>シュウハスウ</t>
    </rPh>
    <phoneticPr fontId="1"/>
  </si>
  <si>
    <t>実測値</t>
    <rPh sb="0" eb="3">
      <t>ジッソクチ</t>
    </rPh>
    <phoneticPr fontId="1"/>
  </si>
  <si>
    <t>200N4M</t>
    <phoneticPr fontId="1"/>
  </si>
  <si>
    <t>200N8M</t>
    <phoneticPr fontId="1"/>
  </si>
  <si>
    <t>Reg</t>
    <phoneticPr fontId="1"/>
  </si>
  <si>
    <t>Slice</t>
    <phoneticPr fontId="1"/>
  </si>
  <si>
    <t>400N3M</t>
    <phoneticPr fontId="1"/>
  </si>
  <si>
    <t>50N16M</t>
    <phoneticPr fontId="1"/>
  </si>
  <si>
    <t>50N8M</t>
    <phoneticPr fontId="1"/>
  </si>
  <si>
    <t>400N3M</t>
    <phoneticPr fontId="1"/>
  </si>
  <si>
    <t>400N2M</t>
    <phoneticPr fontId="1"/>
  </si>
  <si>
    <t>200N8M</t>
    <phoneticPr fontId="1"/>
  </si>
  <si>
    <t>Timing違反</t>
    <rPh sb="6" eb="8">
      <t>イハン</t>
    </rPh>
    <phoneticPr fontId="1"/>
  </si>
  <si>
    <t>200N4M</t>
    <phoneticPr fontId="1"/>
  </si>
  <si>
    <t>50N16M</t>
    <phoneticPr fontId="1"/>
  </si>
  <si>
    <t>50N8M</t>
    <phoneticPr fontId="1"/>
  </si>
  <si>
    <t>検証用</t>
    <rPh sb="0" eb="3">
      <t>ケンショウヨウ</t>
    </rPh>
    <phoneticPr fontId="1"/>
  </si>
  <si>
    <t>X2 （レジスタ数）</t>
    <rPh sb="8" eb="9">
      <t>スウ</t>
    </rPh>
    <phoneticPr fontId="1"/>
  </si>
  <si>
    <t>①</t>
    <phoneticPr fontId="1"/>
  </si>
  <si>
    <t>②</t>
    <phoneticPr fontId="1"/>
  </si>
  <si>
    <t>③</t>
    <phoneticPr fontId="1"/>
  </si>
  <si>
    <t>①ー２</t>
    <phoneticPr fontId="1"/>
  </si>
  <si>
    <t>実測値</t>
    <rPh sb="0" eb="3">
      <t>ジッソクチ</t>
    </rPh>
    <phoneticPr fontId="1"/>
  </si>
  <si>
    <t>再調査</t>
    <rPh sb="0" eb="3">
      <t>サイチョウサ</t>
    </rPh>
    <phoneticPr fontId="1"/>
  </si>
  <si>
    <t>非同期テスト回路電力データ</t>
    <rPh sb="0" eb="3">
      <t>ヒドウキ</t>
    </rPh>
    <rPh sb="6" eb="8">
      <t>カイロ</t>
    </rPh>
    <rPh sb="8" eb="10">
      <t>デンリョク</t>
    </rPh>
    <phoneticPr fontId="1"/>
  </si>
  <si>
    <t>テストパターン</t>
    <phoneticPr fontId="1"/>
  </si>
  <si>
    <t>20MHz</t>
    <phoneticPr fontId="1"/>
  </si>
  <si>
    <t>100N</t>
    <phoneticPr fontId="1"/>
  </si>
  <si>
    <t>Async</t>
    <phoneticPr fontId="1"/>
  </si>
  <si>
    <t>12N~1N</t>
    <phoneticPr fontId="1"/>
  </si>
  <si>
    <t>50MHz</t>
    <phoneticPr fontId="1"/>
  </si>
  <si>
    <t>50N</t>
    <phoneticPr fontId="1"/>
  </si>
  <si>
    <t>12N</t>
    <phoneticPr fontId="1"/>
  </si>
  <si>
    <t>10N</t>
    <phoneticPr fontId="1"/>
  </si>
  <si>
    <t>8N</t>
    <phoneticPr fontId="1"/>
  </si>
  <si>
    <t>4N</t>
    <phoneticPr fontId="1"/>
  </si>
  <si>
    <t>2N</t>
    <phoneticPr fontId="1"/>
  </si>
  <si>
    <t>0N</t>
    <phoneticPr fontId="1"/>
  </si>
  <si>
    <t>`</t>
    <phoneticPr fontId="1"/>
  </si>
  <si>
    <t>Asyncではシミュレーションと実機で、動作速度が異なる可能性がある</t>
    <rPh sb="16" eb="18">
      <t>ジッキ</t>
    </rPh>
    <rPh sb="20" eb="24">
      <t>ドウサソクド</t>
    </rPh>
    <rPh sb="25" eb="26">
      <t>コト</t>
    </rPh>
    <rPh sb="28" eb="31">
      <t>カノウセイ</t>
    </rPh>
    <phoneticPr fontId="1"/>
  </si>
  <si>
    <t>Sendが100回立ち下がる回数をシミュレーションと実機で確認する</t>
    <rPh sb="8" eb="9">
      <t>カイ</t>
    </rPh>
    <rPh sb="9" eb="10">
      <t>タ</t>
    </rPh>
    <rPh sb="11" eb="12">
      <t>サ</t>
    </rPh>
    <rPh sb="14" eb="16">
      <t>カイスウ</t>
    </rPh>
    <rPh sb="26" eb="28">
      <t>ジッキ</t>
    </rPh>
    <rPh sb="29" eb="31">
      <t>カクニン</t>
    </rPh>
    <phoneticPr fontId="1"/>
  </si>
  <si>
    <t>実機</t>
    <rPh sb="0" eb="2">
      <t>ジッキ</t>
    </rPh>
    <phoneticPr fontId="1"/>
  </si>
  <si>
    <t>Simulation</t>
    <phoneticPr fontId="1"/>
  </si>
  <si>
    <t>10進数表記</t>
    <rPh sb="2" eb="4">
      <t>シンスウ</t>
    </rPh>
    <rPh sb="4" eb="6">
      <t>ヒョウキ</t>
    </rPh>
    <phoneticPr fontId="1"/>
  </si>
  <si>
    <t>6N</t>
    <phoneticPr fontId="1"/>
  </si>
  <si>
    <t>Siｍ上Tf</t>
    <rPh sb="3" eb="4">
      <t>ジョウ</t>
    </rPh>
    <phoneticPr fontId="1"/>
  </si>
  <si>
    <t>48.277ns</t>
    <phoneticPr fontId="1"/>
  </si>
  <si>
    <t>26d</t>
    <phoneticPr fontId="1"/>
  </si>
  <si>
    <t>実機(0x)</t>
    <rPh sb="0" eb="2">
      <t>ジッキ</t>
    </rPh>
    <phoneticPr fontId="1"/>
  </si>
  <si>
    <t>10進</t>
    <rPh sb="2" eb="3">
      <t>スス</t>
    </rPh>
    <phoneticPr fontId="1"/>
  </si>
  <si>
    <t>impReg</t>
    <phoneticPr fontId="1"/>
  </si>
  <si>
    <t>スライス</t>
    <phoneticPr fontId="1"/>
  </si>
  <si>
    <t>20MHｚ</t>
    <phoneticPr fontId="1"/>
  </si>
  <si>
    <t>Simulation10進</t>
    <rPh sb="12" eb="13">
      <t>スス</t>
    </rPh>
    <phoneticPr fontId="1"/>
  </si>
  <si>
    <t>48.788ns</t>
    <phoneticPr fontId="1"/>
  </si>
  <si>
    <t>62.5MHz300N4M</t>
    <phoneticPr fontId="1"/>
  </si>
  <si>
    <t>62.5MHz300N3M</t>
    <phoneticPr fontId="1"/>
  </si>
  <si>
    <t xml:space="preserve">62.5MHz300N2M </t>
    <phoneticPr fontId="1"/>
  </si>
  <si>
    <t>62.5MHz300N1M</t>
    <phoneticPr fontId="1"/>
  </si>
  <si>
    <t>62.5MHz300N0M</t>
    <phoneticPr fontId="1"/>
  </si>
  <si>
    <t>125MHz300N4M</t>
    <phoneticPr fontId="1"/>
  </si>
  <si>
    <t>125MHz300N3M</t>
    <phoneticPr fontId="1"/>
  </si>
  <si>
    <t xml:space="preserve">125MHz300N2M </t>
    <phoneticPr fontId="1"/>
  </si>
  <si>
    <t>125MHz300N1M</t>
    <phoneticPr fontId="1"/>
  </si>
  <si>
    <t>125MHz300N0M</t>
    <phoneticPr fontId="1"/>
  </si>
  <si>
    <t>62.5MHz100N16M</t>
    <phoneticPr fontId="1"/>
  </si>
  <si>
    <t>62.5MHz100N12M</t>
    <phoneticPr fontId="1"/>
  </si>
  <si>
    <t>62.5MHz100N8M</t>
    <phoneticPr fontId="1"/>
  </si>
  <si>
    <t>62.5MHz100N4M</t>
    <phoneticPr fontId="1"/>
  </si>
  <si>
    <t>62.5MHz100N2M</t>
    <phoneticPr fontId="1"/>
  </si>
  <si>
    <t>62.5MHz100N1M</t>
    <phoneticPr fontId="1"/>
  </si>
  <si>
    <t>62.5MHz100N0M</t>
    <phoneticPr fontId="1"/>
  </si>
  <si>
    <t>62.5MHz400N3M</t>
    <phoneticPr fontId="1"/>
  </si>
  <si>
    <t>62.5MHz400N2M</t>
    <phoneticPr fontId="1"/>
  </si>
  <si>
    <t>62.5MHz200N8M</t>
    <phoneticPr fontId="1"/>
  </si>
  <si>
    <t>62.5MHz200N4M</t>
    <phoneticPr fontId="1"/>
  </si>
  <si>
    <t>62.5MHz50N8M</t>
    <phoneticPr fontId="1"/>
  </si>
  <si>
    <t>125MHz400N3M</t>
    <phoneticPr fontId="1"/>
  </si>
  <si>
    <t>125MHz400N2M</t>
    <phoneticPr fontId="1"/>
  </si>
  <si>
    <t>62.5MHz50N16M</t>
    <phoneticPr fontId="1"/>
  </si>
  <si>
    <t>125MHz400N4M</t>
    <phoneticPr fontId="1"/>
  </si>
  <si>
    <t>推定値</t>
    <rPh sb="0" eb="3">
      <t>スイテイチ</t>
    </rPh>
    <phoneticPr fontId="1"/>
  </si>
  <si>
    <t>12M</t>
    <phoneticPr fontId="1"/>
  </si>
  <si>
    <t>10M</t>
    <phoneticPr fontId="1"/>
  </si>
  <si>
    <t>8M</t>
    <phoneticPr fontId="1"/>
  </si>
  <si>
    <t>6M</t>
    <phoneticPr fontId="1"/>
  </si>
  <si>
    <t>4M</t>
    <phoneticPr fontId="1"/>
  </si>
  <si>
    <t>2M</t>
    <phoneticPr fontId="1"/>
  </si>
  <si>
    <t>0M</t>
    <phoneticPr fontId="1"/>
  </si>
  <si>
    <t>48.788ns</t>
    <phoneticPr fontId="1"/>
  </si>
  <si>
    <t>46.573ns</t>
    <phoneticPr fontId="1"/>
  </si>
  <si>
    <t>26e</t>
    <phoneticPr fontId="1"/>
  </si>
  <si>
    <t>100N10M</t>
    <phoneticPr fontId="1"/>
  </si>
  <si>
    <t>100N6M</t>
    <phoneticPr fontId="1"/>
  </si>
  <si>
    <t>MHZ</t>
    <phoneticPr fontId="1"/>
  </si>
  <si>
    <t>LUT・レジスタ標準偏差</t>
    <rPh sb="8" eb="12">
      <t>ヒョウジュンヘンサ</t>
    </rPh>
    <phoneticPr fontId="1"/>
  </si>
  <si>
    <t>同期</t>
    <rPh sb="0" eb="2">
      <t>ドウキ</t>
    </rPh>
    <phoneticPr fontId="1"/>
  </si>
  <si>
    <t>非同期</t>
    <rPh sb="0" eb="3">
      <t>ヒドウキ</t>
    </rPh>
    <phoneticPr fontId="1"/>
  </si>
  <si>
    <t>C素子LUT数</t>
    <rPh sb="1" eb="3">
      <t>ソシ</t>
    </rPh>
    <rPh sb="6" eb="7">
      <t>スウ</t>
    </rPh>
    <phoneticPr fontId="1"/>
  </si>
  <si>
    <t>※LUTのうち45こが周辺回路なのでそれ以外がC素子とする</t>
    <rPh sb="11" eb="13">
      <t>シュウヘン</t>
    </rPh>
    <rPh sb="13" eb="15">
      <t>カイロ</t>
    </rPh>
    <rPh sb="20" eb="22">
      <t>イガイ</t>
    </rPh>
    <rPh sb="24" eb="26">
      <t>ソシ</t>
    </rPh>
    <phoneticPr fontId="1"/>
  </si>
  <si>
    <t>これを元のLUTから引いた値</t>
    <rPh sb="3" eb="4">
      <t>モト</t>
    </rPh>
    <rPh sb="10" eb="11">
      <t>ヒ</t>
    </rPh>
    <rPh sb="13" eb="14">
      <t>アタイ</t>
    </rPh>
    <phoneticPr fontId="1"/>
  </si>
  <si>
    <t>特殊LUT※</t>
    <rPh sb="0" eb="2">
      <t>トクシュ</t>
    </rPh>
    <phoneticPr fontId="1"/>
  </si>
  <si>
    <t>特殊LUT数を実LUTとしたときの係数</t>
    <rPh sb="0" eb="2">
      <t>トクシュ</t>
    </rPh>
    <rPh sb="5" eb="6">
      <t>スウ</t>
    </rPh>
    <rPh sb="7" eb="8">
      <t>ジツ</t>
    </rPh>
    <rPh sb="17" eb="19">
      <t>ケイスウ</t>
    </rPh>
    <phoneticPr fontId="1"/>
  </si>
  <si>
    <t>停止時電力を引く→ボードの電力を除いてみrう</t>
    <rPh sb="0" eb="3">
      <t>テイシジ</t>
    </rPh>
    <rPh sb="3" eb="5">
      <t>デンリョク</t>
    </rPh>
    <rPh sb="6" eb="7">
      <t>ヒ</t>
    </rPh>
    <rPh sb="13" eb="15">
      <t>デンリョク</t>
    </rPh>
    <rPh sb="16" eb="17">
      <t>ノゾ</t>
    </rPh>
    <phoneticPr fontId="1"/>
  </si>
  <si>
    <t>停止時電力</t>
    <rPh sb="0" eb="5">
      <t>テイシジデンリョク</t>
    </rPh>
    <phoneticPr fontId="1"/>
  </si>
  <si>
    <t>動作時電力[W]）</t>
    <rPh sb="0" eb="5">
      <t>ドウサジデンリョク</t>
    </rPh>
    <phoneticPr fontId="1"/>
  </si>
  <si>
    <t>実装回路動作時電力100N62.5MHz</t>
    <rPh sb="0" eb="2">
      <t>ジッソウ</t>
    </rPh>
    <rPh sb="2" eb="4">
      <t>カイロ</t>
    </rPh>
    <rPh sb="4" eb="7">
      <t>ドウサジ</t>
    </rPh>
    <rPh sb="7" eb="9">
      <t>デンリョク</t>
    </rPh>
    <phoneticPr fontId="1"/>
  </si>
  <si>
    <t>実装回路動作時電力300N125MHz</t>
    <rPh sb="0" eb="2">
      <t>ジッソウ</t>
    </rPh>
    <rPh sb="2" eb="4">
      <t>カイロ</t>
    </rPh>
    <rPh sb="4" eb="7">
      <t>ドウサジ</t>
    </rPh>
    <rPh sb="7" eb="9">
      <t>デンリョク</t>
    </rPh>
    <phoneticPr fontId="1"/>
  </si>
  <si>
    <t>実装回路動作時電力300N62.5MHz</t>
    <rPh sb="0" eb="2">
      <t>ジッソウ</t>
    </rPh>
    <rPh sb="2" eb="4">
      <t>カイロ</t>
    </rPh>
    <rPh sb="4" eb="7">
      <t>ドウサジ</t>
    </rPh>
    <rPh sb="7" eb="9">
      <t>デンリョク</t>
    </rPh>
    <phoneticPr fontId="1"/>
  </si>
  <si>
    <t>考察：回路の停止時電力に差がある（恐らくレジスタ数、動作周波数が影響）ので、動作時電力にこれを加味するべきか否か</t>
    <rPh sb="0" eb="2">
      <t>コウサツ</t>
    </rPh>
    <rPh sb="3" eb="5">
      <t>カイロ</t>
    </rPh>
    <rPh sb="6" eb="11">
      <t>テイシジデンリョク</t>
    </rPh>
    <rPh sb="12" eb="13">
      <t>サ</t>
    </rPh>
    <rPh sb="17" eb="18">
      <t>オソ</t>
    </rPh>
    <rPh sb="24" eb="25">
      <t>スウ</t>
    </rPh>
    <rPh sb="26" eb="31">
      <t>ドウサシュウハスウ</t>
    </rPh>
    <rPh sb="32" eb="34">
      <t>エイキョウ</t>
    </rPh>
    <rPh sb="38" eb="41">
      <t>ドウサジ</t>
    </rPh>
    <rPh sb="41" eb="43">
      <t>デンリョク</t>
    </rPh>
    <rPh sb="47" eb="49">
      <t>カミ</t>
    </rPh>
    <rPh sb="54" eb="55">
      <t>イナ</t>
    </rPh>
    <phoneticPr fontId="1"/>
  </si>
  <si>
    <t>完全に回路が静止しているわけではなく、Inputデータの更新が止まっているだけ→CLKは常に動作している→CLKが「停止時電力」の差に現れている</t>
    <rPh sb="0" eb="2">
      <t>カンゼン</t>
    </rPh>
    <rPh sb="3" eb="5">
      <t>カイロ</t>
    </rPh>
    <rPh sb="6" eb="8">
      <t>セイシ</t>
    </rPh>
    <rPh sb="28" eb="30">
      <t>コウシン</t>
    </rPh>
    <rPh sb="31" eb="32">
      <t>ト</t>
    </rPh>
    <rPh sb="44" eb="45">
      <t>ツネ</t>
    </rPh>
    <rPh sb="46" eb="48">
      <t>ドウサ</t>
    </rPh>
    <rPh sb="58" eb="63">
      <t>テイシジデンリョク</t>
    </rPh>
    <rPh sb="65" eb="66">
      <t>サ</t>
    </rPh>
    <rPh sb="67" eb="68">
      <t>アラワ</t>
    </rPh>
    <phoneticPr fontId="1"/>
  </si>
  <si>
    <t>回路停止時電力ではないのでこの手法はいまいち？岡村のように、停止時電力を測る用の回路を作るなどの方法が必要</t>
    <rPh sb="0" eb="5">
      <t>カイロテイシジ</t>
    </rPh>
    <rPh sb="5" eb="7">
      <t>デンリョク</t>
    </rPh>
    <rPh sb="15" eb="17">
      <t>シュホウ</t>
    </rPh>
    <rPh sb="23" eb="25">
      <t>オカムラ</t>
    </rPh>
    <rPh sb="30" eb="35">
      <t>テイシジデンリョク</t>
    </rPh>
    <rPh sb="36" eb="37">
      <t>ハカ</t>
    </rPh>
    <rPh sb="38" eb="39">
      <t>ヨウ</t>
    </rPh>
    <rPh sb="40" eb="42">
      <t>カイロ</t>
    </rPh>
    <rPh sb="43" eb="44">
      <t>ツク</t>
    </rPh>
    <rPh sb="48" eb="50">
      <t>ホウホウ</t>
    </rPh>
    <rPh sb="51" eb="53">
      <t>ヒツヨウ</t>
    </rPh>
    <phoneticPr fontId="1"/>
  </si>
  <si>
    <t>40MHz</t>
    <phoneticPr fontId="1"/>
  </si>
  <si>
    <t>Time(ns)</t>
    <phoneticPr fontId="1"/>
  </si>
  <si>
    <t>=</t>
    <phoneticPr fontId="1"/>
  </si>
  <si>
    <t>（タイミングの関係でCpが3回立ち上がるごとに1回休む）</t>
    <rPh sb="7" eb="9">
      <t>カンケイ</t>
    </rPh>
    <rPh sb="14" eb="15">
      <t>カイ</t>
    </rPh>
    <rPh sb="15" eb="16">
      <t>タ</t>
    </rPh>
    <rPh sb="17" eb="18">
      <t>ア</t>
    </rPh>
    <rPh sb="24" eb="25">
      <t>カイ</t>
    </rPh>
    <rPh sb="25" eb="26">
      <t>ヤス</t>
    </rPh>
    <phoneticPr fontId="1"/>
  </si>
  <si>
    <t>Siｍ上Tf</t>
  </si>
  <si>
    <t>23.8ns</t>
    <phoneticPr fontId="1"/>
  </si>
  <si>
    <t>1202検証</t>
    <rPh sb="4" eb="6">
      <t>ケンショウ</t>
    </rPh>
    <phoneticPr fontId="1"/>
  </si>
  <si>
    <t>POWER</t>
    <phoneticPr fontId="1"/>
  </si>
  <si>
    <t>1.631~1.621</t>
    <phoneticPr fontId="1"/>
  </si>
  <si>
    <t>026F</t>
    <phoneticPr fontId="1"/>
  </si>
  <si>
    <t>026E</t>
    <phoneticPr fontId="1"/>
  </si>
  <si>
    <t>1.616~1.605</t>
    <phoneticPr fontId="1"/>
  </si>
  <si>
    <t>1.616~1.591</t>
    <phoneticPr fontId="1"/>
  </si>
  <si>
    <t>1.610~1.578</t>
    <phoneticPr fontId="1"/>
  </si>
  <si>
    <t>Time目安</t>
    <rPh sb="4" eb="6">
      <t>メヤス</t>
    </rPh>
    <phoneticPr fontId="1"/>
  </si>
  <si>
    <t>026C</t>
    <phoneticPr fontId="1"/>
  </si>
  <si>
    <t>1.555~1.558</t>
    <phoneticPr fontId="1"/>
  </si>
  <si>
    <t>12N</t>
    <phoneticPr fontId="1"/>
  </si>
  <si>
    <t>1.555~1.535</t>
    <phoneticPr fontId="1"/>
  </si>
  <si>
    <t>10N</t>
    <phoneticPr fontId="1"/>
  </si>
  <si>
    <t>8N</t>
    <phoneticPr fontId="1"/>
  </si>
  <si>
    <t>6N</t>
    <phoneticPr fontId="1"/>
  </si>
  <si>
    <t>4N</t>
    <phoneticPr fontId="1"/>
  </si>
  <si>
    <t>2N</t>
    <phoneticPr fontId="1"/>
  </si>
  <si>
    <t>0N</t>
    <phoneticPr fontId="1"/>
  </si>
  <si>
    <t>026d</t>
    <phoneticPr fontId="1"/>
  </si>
  <si>
    <t>26d</t>
    <phoneticPr fontId="1"/>
  </si>
  <si>
    <t>20MHz100N</t>
    <phoneticPr fontId="1"/>
  </si>
  <si>
    <t>12/11 データとりなおし</t>
    <phoneticPr fontId="1"/>
  </si>
  <si>
    <t>026C</t>
    <phoneticPr fontId="1"/>
  </si>
  <si>
    <t>26F</t>
    <phoneticPr fontId="1"/>
  </si>
  <si>
    <t>026d</t>
    <phoneticPr fontId="1"/>
  </si>
  <si>
    <t>26C</t>
    <phoneticPr fontId="1"/>
  </si>
  <si>
    <t>26E</t>
    <phoneticPr fontId="1"/>
  </si>
  <si>
    <t>10sin</t>
    <phoneticPr fontId="1"/>
  </si>
  <si>
    <t>40MHz100N</t>
    <phoneticPr fontId="1"/>
  </si>
  <si>
    <t>20MHz50N</t>
    <phoneticPr fontId="1"/>
  </si>
  <si>
    <t>40MHz50N</t>
    <phoneticPr fontId="1"/>
  </si>
  <si>
    <t>50N12M</t>
    <phoneticPr fontId="1"/>
  </si>
  <si>
    <t>50N10M</t>
    <phoneticPr fontId="1"/>
  </si>
  <si>
    <t>50N6M</t>
    <phoneticPr fontId="1"/>
  </si>
  <si>
    <t>50N4M</t>
    <phoneticPr fontId="1"/>
  </si>
  <si>
    <t>50N2M</t>
    <phoneticPr fontId="1"/>
  </si>
  <si>
    <t>50N0M</t>
    <phoneticPr fontId="1"/>
  </si>
  <si>
    <t>20MHz100N</t>
    <phoneticPr fontId="1"/>
  </si>
  <si>
    <t>f*(LUT+Reg)</t>
  </si>
  <si>
    <t>f*(LUT+Reg)</t>
    <phoneticPr fontId="1"/>
  </si>
  <si>
    <t>残差出力</t>
  </si>
  <si>
    <t>観測値</t>
  </si>
  <si>
    <t>予測値: POWER</t>
  </si>
  <si>
    <t>標準残差</t>
  </si>
  <si>
    <t>確率</t>
  </si>
  <si>
    <t>百分位数</t>
  </si>
  <si>
    <t>POWER</t>
  </si>
  <si>
    <t>周波数</t>
    <rPh sb="0" eb="3">
      <t>シュウハスウ</t>
    </rPh>
    <phoneticPr fontId="1"/>
  </si>
  <si>
    <t>LUT</t>
    <phoneticPr fontId="1"/>
  </si>
  <si>
    <t>Reg</t>
    <phoneticPr fontId="1"/>
  </si>
  <si>
    <t>f*(LUT+Reg)</t>
    <phoneticPr fontId="1"/>
  </si>
  <si>
    <t xml:space="preserve"> </t>
    <phoneticPr fontId="1"/>
  </si>
  <si>
    <t>Data=16bit</t>
    <phoneticPr fontId="1"/>
  </si>
  <si>
    <t>M</t>
    <phoneticPr fontId="1"/>
  </si>
  <si>
    <t>MMCAM</t>
    <phoneticPr fontId="1"/>
  </si>
  <si>
    <t>MMRAM</t>
    <phoneticPr fontId="1"/>
  </si>
  <si>
    <t>PS</t>
    <phoneticPr fontId="1"/>
  </si>
  <si>
    <t>FP</t>
    <phoneticPr fontId="1"/>
  </si>
  <si>
    <t>MA</t>
    <phoneticPr fontId="1"/>
  </si>
  <si>
    <t>COPY</t>
    <phoneticPr fontId="1"/>
  </si>
  <si>
    <t>B</t>
    <phoneticPr fontId="1"/>
  </si>
  <si>
    <t>C_output</t>
    <phoneticPr fontId="1"/>
  </si>
  <si>
    <t>CC</t>
    <phoneticPr fontId="1"/>
  </si>
  <si>
    <t>b</t>
    <phoneticPr fontId="1"/>
  </si>
  <si>
    <t>m</t>
    <phoneticPr fontId="1"/>
  </si>
  <si>
    <t>mmcam</t>
    <phoneticPr fontId="1"/>
  </si>
  <si>
    <t>mmram</t>
    <phoneticPr fontId="1"/>
  </si>
  <si>
    <t>ps</t>
    <phoneticPr fontId="1"/>
  </si>
  <si>
    <t>fp</t>
    <phoneticPr fontId="1"/>
  </si>
  <si>
    <t>ma</t>
    <phoneticPr fontId="1"/>
  </si>
  <si>
    <t>copy</t>
    <phoneticPr fontId="1"/>
  </si>
  <si>
    <t>SliceRegi</t>
    <phoneticPr fontId="1"/>
  </si>
  <si>
    <t>LUTasLogic</t>
    <phoneticPr fontId="1"/>
  </si>
  <si>
    <t>BRAM</t>
    <phoneticPr fontId="1"/>
  </si>
  <si>
    <t>DSPs</t>
    <phoneticPr fontId="1"/>
  </si>
  <si>
    <t>BondedIOB</t>
    <phoneticPr fontId="1"/>
  </si>
  <si>
    <t>BUFGCTRL</t>
    <phoneticPr fontId="1"/>
  </si>
  <si>
    <t>PLLE2_ADV</t>
    <phoneticPr fontId="1"/>
  </si>
  <si>
    <t>others</t>
    <phoneticPr fontId="1"/>
  </si>
  <si>
    <t>cw0</t>
    <phoneticPr fontId="1"/>
  </si>
  <si>
    <t>TOP</t>
    <phoneticPr fontId="1"/>
  </si>
  <si>
    <t>ddp1</t>
    <phoneticPr fontId="1"/>
  </si>
  <si>
    <t>ddp2</t>
    <phoneticPr fontId="1"/>
  </si>
  <si>
    <t>ddp3</t>
    <phoneticPr fontId="1"/>
  </si>
  <si>
    <t>ddp0</t>
    <phoneticPr fontId="1"/>
  </si>
  <si>
    <t>ddp_ins</t>
    <phoneticPr fontId="1"/>
  </si>
  <si>
    <t>pb0</t>
    <phoneticPr fontId="1"/>
  </si>
  <si>
    <t>re0</t>
    <phoneticPr fontId="1"/>
  </si>
  <si>
    <t>re1</t>
  </si>
  <si>
    <t>re2</t>
  </si>
  <si>
    <t>re3</t>
  </si>
  <si>
    <t>sendcounter</t>
    <phoneticPr fontId="1"/>
  </si>
  <si>
    <t>sync_mo</t>
    <phoneticPr fontId="1"/>
  </si>
  <si>
    <t>Module name</t>
    <phoneticPr fontId="1"/>
  </si>
  <si>
    <t>FIRLowpass</t>
    <phoneticPr fontId="1"/>
  </si>
  <si>
    <t>DDP16bit</t>
    <phoneticPr fontId="1"/>
  </si>
  <si>
    <t>ModelType</t>
    <phoneticPr fontId="1"/>
  </si>
  <si>
    <t>X1</t>
    <phoneticPr fontId="1"/>
  </si>
  <si>
    <r>
      <t>X</t>
    </r>
    <r>
      <rPr>
        <vertAlign val="subscript"/>
        <sz val="11"/>
        <color theme="1"/>
        <rFont val="游ゴシック"/>
        <family val="3"/>
        <charset val="128"/>
        <scheme val="minor"/>
      </rPr>
      <t>1</t>
    </r>
    <r>
      <rPr>
        <sz val="11"/>
        <color theme="1"/>
        <rFont val="游ゴシック"/>
        <family val="3"/>
        <charset val="128"/>
        <scheme val="minor"/>
      </rPr>
      <t>f+X</t>
    </r>
    <r>
      <rPr>
        <vertAlign val="sub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3"/>
        <charset val="128"/>
        <scheme val="minor"/>
      </rPr>
      <t>LUT+X</t>
    </r>
    <r>
      <rPr>
        <vertAlign val="subscript"/>
        <sz val="11"/>
        <color theme="1"/>
        <rFont val="游ゴシック"/>
        <family val="3"/>
        <charset val="128"/>
        <scheme val="minor"/>
      </rPr>
      <t>3</t>
    </r>
    <r>
      <rPr>
        <sz val="11"/>
        <color theme="1"/>
        <rFont val="游ゴシック"/>
        <family val="3"/>
        <charset val="128"/>
        <scheme val="minor"/>
      </rPr>
      <t>REG</t>
    </r>
    <phoneticPr fontId="1"/>
  </si>
  <si>
    <t>待機時電力</t>
    <rPh sb="0" eb="3">
      <t>タイキジ</t>
    </rPh>
    <rPh sb="3" eb="5">
      <t>デンリョク</t>
    </rPh>
    <phoneticPr fontId="1"/>
  </si>
  <si>
    <t>DDP</t>
    <phoneticPr fontId="1"/>
  </si>
  <si>
    <t>Total</t>
    <phoneticPr fontId="1"/>
  </si>
  <si>
    <t>[Packet]</t>
    <phoneticPr fontId="1"/>
  </si>
  <si>
    <t>パケット送信周期</t>
    <rPh sb="4" eb="6">
      <t>ソウシン</t>
    </rPh>
    <rPh sb="6" eb="8">
      <t>シュウキ</t>
    </rPh>
    <phoneticPr fontId="1"/>
  </si>
  <si>
    <t>[ns]</t>
    <phoneticPr fontId="1"/>
  </si>
  <si>
    <t>[MHz]</t>
    <phoneticPr fontId="1"/>
  </si>
  <si>
    <t>周波数[MHz]</t>
    <rPh sb="0" eb="3">
      <t>シュウハスウ</t>
    </rPh>
    <phoneticPr fontId="1"/>
  </si>
  <si>
    <t>X2</t>
    <phoneticPr fontId="1"/>
  </si>
  <si>
    <t>X3</t>
    <phoneticPr fontId="1"/>
  </si>
  <si>
    <t>"+"others</t>
    <phoneticPr fontId="1"/>
  </si>
  <si>
    <t>M~MM</t>
  </si>
  <si>
    <t>動作周期</t>
  </si>
  <si>
    <t>PS～MA</t>
  </si>
  <si>
    <t>COPY～B</t>
  </si>
  <si>
    <r>
      <t>X</t>
    </r>
    <r>
      <rPr>
        <vertAlign val="subscript"/>
        <sz val="11"/>
        <color theme="1"/>
        <rFont val="游ゴシック"/>
        <family val="3"/>
        <charset val="128"/>
        <scheme val="minor"/>
      </rPr>
      <t>1</t>
    </r>
    <r>
      <rPr>
        <sz val="11"/>
        <color theme="1"/>
        <rFont val="游ゴシック"/>
        <family val="2"/>
        <charset val="128"/>
        <scheme val="minor"/>
      </rPr>
      <t>f(X</t>
    </r>
    <r>
      <rPr>
        <vertAlign val="sub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LUT+X</t>
    </r>
    <r>
      <rPr>
        <vertAlign val="subscript"/>
        <sz val="11"/>
        <color theme="1"/>
        <rFont val="游ゴシック"/>
        <family val="3"/>
        <charset val="128"/>
        <scheme val="minor"/>
      </rPr>
      <t>3</t>
    </r>
    <r>
      <rPr>
        <sz val="11"/>
        <color theme="1"/>
        <rFont val="游ゴシック"/>
        <family val="2"/>
        <charset val="128"/>
        <scheme val="minor"/>
      </rPr>
      <t>REG)</t>
    </r>
  </si>
  <si>
    <t>＊４</t>
  </si>
  <si>
    <t>動作周波数</t>
    <rPh sb="0" eb="5">
      <t>ドウサシュウハスウ</t>
    </rPh>
    <phoneticPr fontId="1"/>
  </si>
  <si>
    <t>ステージ通過パケット数</t>
    <rPh sb="4" eb="6">
      <t>ツウカ</t>
    </rPh>
    <rPh sb="10" eb="11">
      <t>スウ</t>
    </rPh>
    <phoneticPr fontId="1"/>
  </si>
  <si>
    <t>DDP32bit</t>
    <phoneticPr fontId="1"/>
  </si>
  <si>
    <t>絶対誤差</t>
    <rPh sb="0" eb="4">
      <t>ゼッタイゴサ</t>
    </rPh>
    <phoneticPr fontId="1"/>
  </si>
  <si>
    <t>2変数</t>
    <rPh sb="1" eb="3">
      <t>ヘンスウ</t>
    </rPh>
    <phoneticPr fontId="1"/>
  </si>
  <si>
    <t>P/f</t>
  </si>
  <si>
    <t>P/f</t>
    <phoneticPr fontId="1"/>
  </si>
  <si>
    <t>f[MHZ]</t>
    <phoneticPr fontId="1"/>
  </si>
  <si>
    <t>f[]</t>
    <phoneticPr fontId="1"/>
  </si>
  <si>
    <t>Reg</t>
  </si>
  <si>
    <t>予測値: P/f</t>
  </si>
  <si>
    <r>
      <t>(P-1.49)/f =X</t>
    </r>
    <r>
      <rPr>
        <vertAlign val="subscript"/>
        <sz val="11"/>
        <color theme="1"/>
        <rFont val="游ゴシック"/>
        <family val="3"/>
        <charset val="128"/>
        <scheme val="minor"/>
      </rPr>
      <t>1</t>
    </r>
    <r>
      <rPr>
        <sz val="11"/>
        <color theme="1"/>
        <rFont val="游ゴシック"/>
        <family val="2"/>
        <charset val="128"/>
        <scheme val="minor"/>
      </rPr>
      <t>N</t>
    </r>
    <r>
      <rPr>
        <vertAlign val="subscript"/>
        <sz val="11"/>
        <color theme="1"/>
        <rFont val="游ゴシック"/>
        <family val="3"/>
        <charset val="128"/>
        <scheme val="minor"/>
      </rPr>
      <t>L</t>
    </r>
    <r>
      <rPr>
        <sz val="11"/>
        <color theme="1"/>
        <rFont val="游ゴシック"/>
        <family val="2"/>
        <charset val="128"/>
        <scheme val="minor"/>
      </rPr>
      <t>+X</t>
    </r>
    <r>
      <rPr>
        <vertAlign val="sub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N</t>
    </r>
    <r>
      <rPr>
        <vertAlign val="subscript"/>
        <sz val="11"/>
        <color theme="1"/>
        <rFont val="游ゴシック"/>
        <family val="3"/>
        <charset val="128"/>
        <scheme val="minor"/>
      </rPr>
      <t>R</t>
    </r>
    <r>
      <rPr>
        <sz val="11"/>
        <color theme="1"/>
        <rFont val="游ゴシック"/>
        <family val="2"/>
        <charset val="128"/>
        <scheme val="minor"/>
      </rPr>
      <t>+Pothers</t>
    </r>
    <phoneticPr fontId="1"/>
  </si>
  <si>
    <t>観測された分散比</t>
    <phoneticPr fontId="1"/>
  </si>
  <si>
    <r>
      <t>f:20MHz, N</t>
    </r>
    <r>
      <rPr>
        <vertAlign val="subscript"/>
        <sz val="11"/>
        <color theme="1"/>
        <rFont val="游ゴシック"/>
        <family val="3"/>
        <charset val="128"/>
        <scheme val="minor"/>
      </rPr>
      <t>reg:3334</t>
    </r>
    <phoneticPr fontId="1"/>
  </si>
  <si>
    <r>
      <t>f:20MHz, N</t>
    </r>
    <r>
      <rPr>
        <vertAlign val="subscript"/>
        <sz val="11"/>
        <color theme="1"/>
        <rFont val="游ゴシック"/>
        <family val="3"/>
        <charset val="128"/>
        <scheme val="minor"/>
      </rPr>
      <t>Reg</t>
    </r>
    <r>
      <rPr>
        <sz val="11"/>
        <color theme="1"/>
        <rFont val="游ゴシック"/>
        <family val="3"/>
        <charset val="128"/>
        <scheme val="minor"/>
      </rPr>
      <t>:3334</t>
    </r>
    <phoneticPr fontId="1"/>
  </si>
  <si>
    <r>
      <t>f:20MHz, N</t>
    </r>
    <r>
      <rPr>
        <vertAlign val="subscript"/>
        <sz val="11"/>
        <color theme="1"/>
        <rFont val="游ゴシック"/>
        <family val="3"/>
        <charset val="128"/>
        <scheme val="minor"/>
      </rPr>
      <t>Reg</t>
    </r>
    <r>
      <rPr>
        <sz val="11"/>
        <color theme="1"/>
        <rFont val="游ゴシック"/>
        <family val="2"/>
        <charset val="128"/>
        <scheme val="minor"/>
      </rPr>
      <t>:1734</t>
    </r>
    <phoneticPr fontId="1"/>
  </si>
  <si>
    <r>
      <t>f:40MHz, N</t>
    </r>
    <r>
      <rPr>
        <vertAlign val="subscript"/>
        <sz val="11"/>
        <color theme="1"/>
        <rFont val="游ゴシック"/>
        <family val="3"/>
        <charset val="128"/>
        <scheme val="minor"/>
      </rPr>
      <t>Reg</t>
    </r>
    <r>
      <rPr>
        <sz val="11"/>
        <color theme="1"/>
        <rFont val="游ゴシック"/>
        <family val="2"/>
        <charset val="128"/>
        <scheme val="minor"/>
      </rPr>
      <t>:1734</t>
    </r>
    <phoneticPr fontId="1"/>
  </si>
  <si>
    <t>mul</t>
    <phoneticPr fontId="1"/>
  </si>
  <si>
    <t>DDP</t>
    <phoneticPr fontId="1"/>
  </si>
  <si>
    <t>M</t>
    <phoneticPr fontId="1"/>
  </si>
  <si>
    <t>MMCAM</t>
    <phoneticPr fontId="1"/>
  </si>
  <si>
    <t>周波数</t>
    <rPh sb="0" eb="3">
      <t>シュウハスウ</t>
    </rPh>
    <phoneticPr fontId="1"/>
  </si>
  <si>
    <t>TEGパターン</t>
    <phoneticPr fontId="1"/>
  </si>
  <si>
    <t>TEGパターン(N=Reg段、M＝Logic段)</t>
    <rPh sb="13" eb="14">
      <t>ダン</t>
    </rPh>
    <phoneticPr fontId="1"/>
  </si>
  <si>
    <t>Registers</t>
    <phoneticPr fontId="1"/>
  </si>
  <si>
    <t>LUTs</t>
    <phoneticPr fontId="1"/>
  </si>
  <si>
    <t>Slices</t>
    <phoneticPr fontId="1"/>
  </si>
  <si>
    <t>Implementation LUTs</t>
    <phoneticPr fontId="1"/>
  </si>
  <si>
    <t>Synthesis LUTs</t>
    <phoneticPr fontId="1"/>
  </si>
  <si>
    <t>Assunption LU s</t>
    <phoneticPr fontId="1"/>
  </si>
  <si>
    <t>Assunption LUT s</t>
    <phoneticPr fontId="1"/>
  </si>
  <si>
    <t>2024/6/19に取得したデータ</t>
    <rPh sb="10" eb="12">
      <t>シュトク</t>
    </rPh>
    <phoneticPr fontId="1"/>
  </si>
  <si>
    <t>Utilization</t>
  </si>
  <si>
    <t>Data=32bit 回路規模と電力</t>
    <rPh sb="11" eb="15">
      <t>カイロキボ</t>
    </rPh>
    <rPh sb="16" eb="18">
      <t>デンリョク</t>
    </rPh>
    <phoneticPr fontId="1"/>
  </si>
  <si>
    <t>簡単なプログラム（乗算）</t>
  </si>
  <si>
    <t>プログラム：FIRLowpass</t>
  </si>
  <si>
    <t>停止時</t>
    <rPh sb="0" eb="3">
      <t>テイシジ</t>
    </rPh>
    <phoneticPr fontId="1"/>
  </si>
  <si>
    <t>未計測</t>
    <rPh sb="0" eb="3">
      <t>ミケイソク</t>
    </rPh>
    <phoneticPr fontId="1"/>
  </si>
  <si>
    <t>時間</t>
    <rPh sb="0" eb="2">
      <t>ジカン</t>
    </rPh>
    <phoneticPr fontId="1"/>
  </si>
  <si>
    <t>動作周波数の導出</t>
    <rPh sb="2" eb="5">
      <t>シュウハスウ</t>
    </rPh>
    <rPh sb="6" eb="8">
      <t>ドウシュツ</t>
    </rPh>
    <phoneticPr fontId="1"/>
  </si>
  <si>
    <t>動作周波数の導出</t>
    <rPh sb="0" eb="2">
      <t>ドウサ</t>
    </rPh>
    <rPh sb="2" eb="5">
      <t>シュウハスウ</t>
    </rPh>
    <rPh sb="6" eb="8">
      <t>ドウシュツ</t>
    </rPh>
    <phoneticPr fontId="1"/>
  </si>
  <si>
    <t>提案モデルA</t>
    <rPh sb="0" eb="2">
      <t>テイアン</t>
    </rPh>
    <phoneticPr fontId="1"/>
  </si>
  <si>
    <t>提案モデルB</t>
    <rPh sb="0" eb="2">
      <t>テイアン</t>
    </rPh>
    <phoneticPr fontId="1"/>
  </si>
  <si>
    <t>試作モデル</t>
    <rPh sb="0" eb="2">
      <t>シサク</t>
    </rPh>
    <phoneticPr fontId="1"/>
  </si>
  <si>
    <t>試作モデル</t>
    <rPh sb="0" eb="2">
      <t>シサク</t>
    </rPh>
    <phoneticPr fontId="1"/>
  </si>
  <si>
    <t>提案モデルA</t>
    <rPh sb="0" eb="2">
      <t>テイアン</t>
    </rPh>
    <phoneticPr fontId="1"/>
  </si>
  <si>
    <t>提案モデルB（f*(LUT+Reg)）</t>
    <rPh sb="0" eb="2">
      <t>テイアン</t>
    </rPh>
    <phoneticPr fontId="1"/>
  </si>
  <si>
    <t>提案モデルB補正</t>
    <rPh sb="0" eb="2">
      <t>テイアン</t>
    </rPh>
    <rPh sb="6" eb="8">
      <t>ホセイ</t>
    </rPh>
    <phoneticPr fontId="1"/>
  </si>
  <si>
    <t>実測電力</t>
    <rPh sb="0" eb="2">
      <t>ジッソク</t>
    </rPh>
    <rPh sb="2" eb="4">
      <t>デンリョク</t>
    </rPh>
    <phoneticPr fontId="1"/>
  </si>
  <si>
    <t>FIRーDDPプログラム</t>
    <phoneticPr fontId="1"/>
  </si>
  <si>
    <t>簡単な乗算プログラム</t>
    <rPh sb="0" eb="2">
      <t>カンタン</t>
    </rPh>
    <rPh sb="3" eb="5">
      <t>ジョウザン</t>
    </rPh>
    <phoneticPr fontId="1"/>
  </si>
  <si>
    <t>実測電力</t>
    <rPh sb="0" eb="2">
      <t>ジッソク</t>
    </rPh>
    <rPh sb="2" eb="4">
      <t>デンリョク</t>
    </rPh>
    <phoneticPr fontId="1"/>
  </si>
  <si>
    <t>実測値との差</t>
    <rPh sb="0" eb="2">
      <t>ジッソク</t>
    </rPh>
    <rPh sb="2" eb="3">
      <t>チ</t>
    </rPh>
    <rPh sb="5" eb="6">
      <t>サ</t>
    </rPh>
    <phoneticPr fontId="1"/>
  </si>
  <si>
    <t>実測値との差</t>
    <rPh sb="0" eb="3">
      <t>ジッソクチ</t>
    </rPh>
    <rPh sb="5" eb="6">
      <t>サ</t>
    </rPh>
    <phoneticPr fontId="1"/>
  </si>
  <si>
    <t>X1*提案モデルB</t>
    <rPh sb="3" eb="5">
      <t>テイアン</t>
    </rPh>
    <phoneticPr fontId="1"/>
  </si>
  <si>
    <t>切片（others）</t>
    <rPh sb="0" eb="2">
      <t>セッペン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</si>
</sst>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0"/>
    <numFmt numFmtId="177" formatCode="0.0000E+00"/>
    <numFmt numFmtId="178" formatCode="0.00000"/>
    <numFmt numFmtId="179" formatCode="0.000"/>
    <numFmt numFmtId="180" formatCode="0.000000"/>
    <numFmt numFmtId="187" formatCode="0.00000_);[Red]\(0.00000\)"/>
    <numFmt numFmtId="202" formatCode="0.00000000_ 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vertAlign val="subscript"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3" fontId="3" fillId="2" borderId="1" xfId="0" applyNumberFormat="1" applyFont="1" applyFill="1" applyBorder="1" applyAlignment="1">
      <alignment horizontal="right" vertical="center" wrapText="1" readingOrder="1"/>
    </xf>
    <xf numFmtId="3" fontId="3" fillId="2" borderId="2" xfId="0" applyNumberFormat="1" applyFont="1" applyFill="1" applyBorder="1" applyAlignment="1">
      <alignment horizontal="right" vertical="center" wrapText="1" readingOrder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Continuous" vertical="center"/>
    </xf>
    <xf numFmtId="0" fontId="0" fillId="0" borderId="0" xfId="0" applyAlignment="1">
      <alignment horizontal="right" vertical="center"/>
    </xf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Continuous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5" xfId="0" applyFont="1" applyFill="1" applyBorder="1" applyAlignment="1">
      <alignment horizontal="right" vertical="center" wrapText="1" readingOrder="1"/>
    </xf>
    <xf numFmtId="0" fontId="3" fillId="0" borderId="0" xfId="0" applyFont="1" applyFill="1" applyBorder="1" applyAlignment="1">
      <alignment horizontal="right" vertical="center" wrapText="1" readingOrder="1"/>
    </xf>
    <xf numFmtId="11" fontId="0" fillId="0" borderId="3" xfId="0" applyNumberForma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8" fillId="0" borderId="0" xfId="0" applyFont="1">
      <alignment vertical="center"/>
    </xf>
    <xf numFmtId="11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3" borderId="0" xfId="0" applyNumberFormat="1" applyFill="1">
      <alignment vertical="center"/>
    </xf>
    <xf numFmtId="178" fontId="0" fillId="4" borderId="0" xfId="0" applyNumberFormat="1" applyFill="1">
      <alignment vertical="center"/>
    </xf>
    <xf numFmtId="177" fontId="0" fillId="0" borderId="3" xfId="0" applyNumberFormat="1" applyFill="1" applyBorder="1" applyAlignment="1">
      <alignment vertical="center"/>
    </xf>
    <xf numFmtId="179" fontId="0" fillId="0" borderId="0" xfId="0" applyNumberFormat="1">
      <alignment vertical="center"/>
    </xf>
    <xf numFmtId="11" fontId="0" fillId="0" borderId="0" xfId="0" applyNumberFormat="1" applyFill="1" applyBorder="1" applyAlignment="1">
      <alignment vertical="center"/>
    </xf>
    <xf numFmtId="177" fontId="0" fillId="0" borderId="0" xfId="0" applyNumberFormat="1" applyFill="1" applyBorder="1" applyAlignment="1">
      <alignment vertical="center"/>
    </xf>
    <xf numFmtId="178" fontId="0" fillId="0" borderId="0" xfId="0" applyNumberFormat="1" applyFill="1" applyBorder="1" applyAlignment="1">
      <alignment vertical="center"/>
    </xf>
    <xf numFmtId="178" fontId="0" fillId="0" borderId="3" xfId="0" applyNumberFormat="1" applyFill="1" applyBorder="1" applyAlignme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180" fontId="0" fillId="4" borderId="0" xfId="0" applyNumberFormat="1" applyFill="1">
      <alignment vertical="center"/>
    </xf>
    <xf numFmtId="180" fontId="0" fillId="0" borderId="0" xfId="0" applyNumberFormat="1">
      <alignment vertical="center"/>
    </xf>
    <xf numFmtId="187" fontId="0" fillId="0" borderId="0" xfId="0" applyNumberFormat="1">
      <alignment vertical="center"/>
    </xf>
    <xf numFmtId="202" fontId="0" fillId="0" borderId="0" xfId="0" applyNumberFormat="1">
      <alignment vertical="center"/>
    </xf>
    <xf numFmtId="0" fontId="7" fillId="0" borderId="0" xfId="0" applyFont="1" applyFill="1" applyBorder="1">
      <alignment vertical="center"/>
    </xf>
    <xf numFmtId="0" fontId="0" fillId="0" borderId="0" xfId="0" applyBorder="1">
      <alignment vertical="center"/>
    </xf>
    <xf numFmtId="0" fontId="3" fillId="0" borderId="0" xfId="0" applyFont="1" applyFill="1" applyBorder="1" applyAlignment="1">
      <alignment horizontal="center" vertical="center" wrapText="1" readingOrder="1"/>
    </xf>
    <xf numFmtId="3" fontId="3" fillId="0" borderId="0" xfId="0" applyNumberFormat="1" applyFont="1" applyFill="1" applyBorder="1" applyAlignment="1">
      <alignment horizontal="right" vertical="center" wrapText="1" readingOrder="1"/>
    </xf>
    <xf numFmtId="0" fontId="7" fillId="0" borderId="0" xfId="0" applyFont="1" applyFill="1" applyBorder="1" applyAlignment="1">
      <alignment horizontal="center" vertical="center"/>
    </xf>
    <xf numFmtId="3" fontId="7" fillId="0" borderId="0" xfId="0" applyNumberFormat="1" applyFont="1" applyFill="1" applyBorder="1">
      <alignment vertical="center"/>
    </xf>
    <xf numFmtId="0" fontId="7" fillId="0" borderId="0" xfId="0" applyFont="1" applyBorder="1">
      <alignment vertical="center"/>
    </xf>
    <xf numFmtId="3" fontId="7" fillId="0" borderId="0" xfId="0" applyNumberFormat="1" applyFont="1" applyBorder="1">
      <alignment vertical="center"/>
    </xf>
    <xf numFmtId="0" fontId="0" fillId="0" borderId="0" xfId="0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USB</a:t>
            </a:r>
            <a:r>
              <a:rPr lang="ja-JP" altLang="en-US"/>
              <a:t>ワットチェッカー</a:t>
            </a:r>
          </a:p>
        </c:rich>
      </c:tx>
      <c:layout>
        <c:manualLayout>
          <c:xMode val="edge"/>
          <c:yMode val="edge"/>
          <c:x val="0.31076399825021872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電力データ_0610までに取得分!$L$95</c:f>
              <c:strCache>
                <c:ptCount val="1"/>
                <c:pt idx="0">
                  <c:v>RouteR社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電力データ_0610までに取得分!$K$96:$K$101</c:f>
              <c:strCache>
                <c:ptCount val="6"/>
                <c:pt idx="0">
                  <c:v>100N16M</c:v>
                </c:pt>
                <c:pt idx="1">
                  <c:v>100N12M</c:v>
                </c:pt>
                <c:pt idx="2">
                  <c:v>100N8M</c:v>
                </c:pt>
                <c:pt idx="3">
                  <c:v>100N4M</c:v>
                </c:pt>
                <c:pt idx="4">
                  <c:v>100N2M</c:v>
                </c:pt>
                <c:pt idx="5">
                  <c:v>100N1M</c:v>
                </c:pt>
              </c:strCache>
            </c:strRef>
          </c:cat>
          <c:val>
            <c:numRef>
              <c:f>電力データ_0610までに取得分!$L$96:$L$101</c:f>
              <c:numCache>
                <c:formatCode>General</c:formatCode>
                <c:ptCount val="6"/>
                <c:pt idx="0">
                  <c:v>1.9663225806451616</c:v>
                </c:pt>
                <c:pt idx="1">
                  <c:v>1.8869838709677409</c:v>
                </c:pt>
                <c:pt idx="2">
                  <c:v>1.7988709677419374</c:v>
                </c:pt>
                <c:pt idx="3">
                  <c:v>1.7064838709677419</c:v>
                </c:pt>
                <c:pt idx="4">
                  <c:v>1.6622096774193542</c:v>
                </c:pt>
                <c:pt idx="5">
                  <c:v>1.6520161290322599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3E-46B0-BB70-B6C80E6EF575}"/>
            </c:ext>
          </c:extLst>
        </c:ser>
        <c:ser>
          <c:idx val="1"/>
          <c:order val="1"/>
          <c:tx>
            <c:strRef>
              <c:f>電力データ_0610までに取得分!$M$95</c:f>
              <c:strCache>
                <c:ptCount val="1"/>
                <c:pt idx="0">
                  <c:v>COOWOO社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電力データ_0610までに取得分!$K$96:$K$101</c:f>
              <c:strCache>
                <c:ptCount val="6"/>
                <c:pt idx="0">
                  <c:v>100N16M</c:v>
                </c:pt>
                <c:pt idx="1">
                  <c:v>100N12M</c:v>
                </c:pt>
                <c:pt idx="2">
                  <c:v>100N8M</c:v>
                </c:pt>
                <c:pt idx="3">
                  <c:v>100N4M</c:v>
                </c:pt>
                <c:pt idx="4">
                  <c:v>100N2M</c:v>
                </c:pt>
                <c:pt idx="5">
                  <c:v>100N1M</c:v>
                </c:pt>
              </c:strCache>
            </c:strRef>
          </c:cat>
          <c:val>
            <c:numRef>
              <c:f>電力データ_0610までに取得分!$M$96:$M$101</c:f>
              <c:numCache>
                <c:formatCode>General</c:formatCode>
                <c:ptCount val="6"/>
                <c:pt idx="0">
                  <c:v>1.9134999999999995</c:v>
                </c:pt>
                <c:pt idx="1">
                  <c:v>1.8320322580645148</c:v>
                </c:pt>
                <c:pt idx="2">
                  <c:v>1.7371612903225813</c:v>
                </c:pt>
                <c:pt idx="3">
                  <c:v>1.647564516129032</c:v>
                </c:pt>
                <c:pt idx="4">
                  <c:v>1.6071612903225807</c:v>
                </c:pt>
                <c:pt idx="5">
                  <c:v>1.5851854838709671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3E-46B0-BB70-B6C80E6EF575}"/>
            </c:ext>
          </c:extLst>
        </c:ser>
        <c:ser>
          <c:idx val="2"/>
          <c:order val="2"/>
          <c:tx>
            <c:strRef>
              <c:f>電力データ_0610までに取得分!$N$95</c:f>
              <c:strCache>
                <c:ptCount val="1"/>
                <c:pt idx="0">
                  <c:v>推定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電力データ_0610までに取得分!$K$96:$K$101</c:f>
              <c:strCache>
                <c:ptCount val="6"/>
                <c:pt idx="0">
                  <c:v>100N16M</c:v>
                </c:pt>
                <c:pt idx="1">
                  <c:v>100N12M</c:v>
                </c:pt>
                <c:pt idx="2">
                  <c:v>100N8M</c:v>
                </c:pt>
                <c:pt idx="3">
                  <c:v>100N4M</c:v>
                </c:pt>
                <c:pt idx="4">
                  <c:v>100N2M</c:v>
                </c:pt>
                <c:pt idx="5">
                  <c:v>100N1M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D742-4F2D-B9EE-E1EF4F048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420336"/>
        <c:axId val="84641952"/>
      </c:lineChart>
      <c:catAx>
        <c:axId val="64420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回路パターン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641952"/>
        <c:crosses val="autoZero"/>
        <c:auto val="1"/>
        <c:lblAlgn val="ctr"/>
        <c:lblOffset val="100"/>
        <c:noMultiLvlLbl val="0"/>
      </c:catAx>
      <c:valAx>
        <c:axId val="84641952"/>
        <c:scaling>
          <c:orientation val="minMax"/>
          <c:max val="2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42033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電力データ_0610までに取得分!$AE$79</c:f>
              <c:strCache>
                <c:ptCount val="1"/>
                <c:pt idx="0">
                  <c:v>62.5MHz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電力データ_0610までに取得分!$AD$80:$AD$83</c:f>
              <c:strCache>
                <c:ptCount val="4"/>
                <c:pt idx="0">
                  <c:v>300N4M</c:v>
                </c:pt>
                <c:pt idx="1">
                  <c:v>300N3M</c:v>
                </c:pt>
                <c:pt idx="2">
                  <c:v>300N2M</c:v>
                </c:pt>
                <c:pt idx="3">
                  <c:v>300N1M</c:v>
                </c:pt>
              </c:strCache>
            </c:strRef>
          </c:cat>
          <c:val>
            <c:numRef>
              <c:f>電力データ_0610までに取得分!$AE$80:$AE$83</c:f>
              <c:numCache>
                <c:formatCode>General</c:formatCode>
                <c:ptCount val="4"/>
                <c:pt idx="0">
                  <c:v>1.9279999999999999</c:v>
                </c:pt>
                <c:pt idx="1">
                  <c:v>1.9</c:v>
                </c:pt>
                <c:pt idx="2">
                  <c:v>1.8180000000000001</c:v>
                </c:pt>
                <c:pt idx="3">
                  <c:v>1.776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E7-4ADC-BAA2-36128BEBB6B3}"/>
            </c:ext>
          </c:extLst>
        </c:ser>
        <c:ser>
          <c:idx val="1"/>
          <c:order val="1"/>
          <c:tx>
            <c:strRef>
              <c:f>電力データ_0610までに取得分!$AF$79</c:f>
              <c:strCache>
                <c:ptCount val="1"/>
                <c:pt idx="0">
                  <c:v>125MHz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電力データ_0610までに取得分!$AD$80:$AD$83</c:f>
              <c:strCache>
                <c:ptCount val="4"/>
                <c:pt idx="0">
                  <c:v>300N4M</c:v>
                </c:pt>
                <c:pt idx="1">
                  <c:v>300N3M</c:v>
                </c:pt>
                <c:pt idx="2">
                  <c:v>300N2M</c:v>
                </c:pt>
                <c:pt idx="3">
                  <c:v>300N1M</c:v>
                </c:pt>
              </c:strCache>
            </c:strRef>
          </c:cat>
          <c:val>
            <c:numRef>
              <c:f>電力データ_0610までに取得分!$AF$80:$AF$83</c:f>
              <c:numCache>
                <c:formatCode>General</c:formatCode>
                <c:ptCount val="4"/>
                <c:pt idx="0">
                  <c:v>2.4355000000000002</c:v>
                </c:pt>
                <c:pt idx="1">
                  <c:v>2.3450000000000002</c:v>
                </c:pt>
                <c:pt idx="2">
                  <c:v>2.2052</c:v>
                </c:pt>
                <c:pt idx="3">
                  <c:v>2.0589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E7-4ADC-BAA2-36128BEBB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3454495"/>
        <c:axId val="1648731391"/>
      </c:lineChart>
      <c:catAx>
        <c:axId val="65345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48731391"/>
        <c:crosses val="autoZero"/>
        <c:auto val="1"/>
        <c:lblAlgn val="ctr"/>
        <c:lblOffset val="100"/>
        <c:noMultiLvlLbl val="0"/>
      </c:catAx>
      <c:valAx>
        <c:axId val="164873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345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電力データ_0610までに取得分!$L$95</c:f>
              <c:strCache>
                <c:ptCount val="1"/>
                <c:pt idx="0">
                  <c:v>RouteR社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電力データ_0610までに取得分!$K$96:$K$101</c:f>
              <c:strCache>
                <c:ptCount val="6"/>
                <c:pt idx="0">
                  <c:v>100N16M</c:v>
                </c:pt>
                <c:pt idx="1">
                  <c:v>100N12M</c:v>
                </c:pt>
                <c:pt idx="2">
                  <c:v>100N8M</c:v>
                </c:pt>
                <c:pt idx="3">
                  <c:v>100N4M</c:v>
                </c:pt>
                <c:pt idx="4">
                  <c:v>100N2M</c:v>
                </c:pt>
                <c:pt idx="5">
                  <c:v>100N1M</c:v>
                </c:pt>
              </c:strCache>
            </c:strRef>
          </c:cat>
          <c:val>
            <c:numRef>
              <c:f>電力データ_0610までに取得分!$L$96:$L$101</c:f>
              <c:numCache>
                <c:formatCode>General</c:formatCode>
                <c:ptCount val="6"/>
                <c:pt idx="0">
                  <c:v>1.9663225806451616</c:v>
                </c:pt>
                <c:pt idx="1">
                  <c:v>1.8869838709677409</c:v>
                </c:pt>
                <c:pt idx="2">
                  <c:v>1.7988709677419374</c:v>
                </c:pt>
                <c:pt idx="3">
                  <c:v>1.7064838709677419</c:v>
                </c:pt>
                <c:pt idx="4">
                  <c:v>1.6622096774193542</c:v>
                </c:pt>
                <c:pt idx="5">
                  <c:v>1.6520161290322599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CD-4A07-8467-D5BB1D7B8F58}"/>
            </c:ext>
          </c:extLst>
        </c:ser>
        <c:ser>
          <c:idx val="1"/>
          <c:order val="1"/>
          <c:tx>
            <c:strRef>
              <c:f>電力データ_0610までに取得分!$M$95</c:f>
              <c:strCache>
                <c:ptCount val="1"/>
                <c:pt idx="0">
                  <c:v>COOWOO社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電力データ_0610までに取得分!$K$96:$K$101</c:f>
              <c:strCache>
                <c:ptCount val="6"/>
                <c:pt idx="0">
                  <c:v>100N16M</c:v>
                </c:pt>
                <c:pt idx="1">
                  <c:v>100N12M</c:v>
                </c:pt>
                <c:pt idx="2">
                  <c:v>100N8M</c:v>
                </c:pt>
                <c:pt idx="3">
                  <c:v>100N4M</c:v>
                </c:pt>
                <c:pt idx="4">
                  <c:v>100N2M</c:v>
                </c:pt>
                <c:pt idx="5">
                  <c:v>100N1M</c:v>
                </c:pt>
              </c:strCache>
            </c:strRef>
          </c:cat>
          <c:val>
            <c:numRef>
              <c:f>電力データ_0610までに取得分!$M$96:$M$101</c:f>
              <c:numCache>
                <c:formatCode>General</c:formatCode>
                <c:ptCount val="6"/>
                <c:pt idx="0">
                  <c:v>1.9134999999999995</c:v>
                </c:pt>
                <c:pt idx="1">
                  <c:v>1.8320322580645148</c:v>
                </c:pt>
                <c:pt idx="2">
                  <c:v>1.7371612903225813</c:v>
                </c:pt>
                <c:pt idx="3">
                  <c:v>1.647564516129032</c:v>
                </c:pt>
                <c:pt idx="4">
                  <c:v>1.6071612903225807</c:v>
                </c:pt>
                <c:pt idx="5">
                  <c:v>1.5851854838709671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CD-4A07-8467-D5BB1D7B8F58}"/>
            </c:ext>
          </c:extLst>
        </c:ser>
        <c:ser>
          <c:idx val="2"/>
          <c:order val="2"/>
          <c:tx>
            <c:strRef>
              <c:f>電力データ_0610までに取得分!$N$95</c:f>
              <c:strCache>
                <c:ptCount val="1"/>
                <c:pt idx="0">
                  <c:v>推定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電力データ_0610までに取得分!$K$96:$K$101</c:f>
              <c:strCache>
                <c:ptCount val="6"/>
                <c:pt idx="0">
                  <c:v>100N16M</c:v>
                </c:pt>
                <c:pt idx="1">
                  <c:v>100N12M</c:v>
                </c:pt>
                <c:pt idx="2">
                  <c:v>100N8M</c:v>
                </c:pt>
                <c:pt idx="3">
                  <c:v>100N4M</c:v>
                </c:pt>
                <c:pt idx="4">
                  <c:v>100N2M</c:v>
                </c:pt>
                <c:pt idx="5">
                  <c:v>100N1M</c:v>
                </c:pt>
              </c:strCache>
            </c:strRef>
          </c:cat>
          <c:val>
            <c:numRef>
              <c:f>電力データ_0610までに取得分!$N$96:$N$101</c:f>
              <c:numCache>
                <c:formatCode>General</c:formatCode>
                <c:ptCount val="6"/>
                <c:pt idx="0">
                  <c:v>0.54200000000000004</c:v>
                </c:pt>
                <c:pt idx="1">
                  <c:v>0.46600000000000003</c:v>
                </c:pt>
                <c:pt idx="2">
                  <c:v>0.36799999999999999</c:v>
                </c:pt>
                <c:pt idx="3">
                  <c:v>0.27</c:v>
                </c:pt>
                <c:pt idx="4">
                  <c:v>0.22</c:v>
                </c:pt>
                <c:pt idx="5">
                  <c:v>0.19700000000000001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CD-4A07-8467-D5BB1D7B8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33823"/>
        <c:axId val="573969455"/>
      </c:lineChart>
      <c:catAx>
        <c:axId val="39883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3969455"/>
        <c:crosses val="autoZero"/>
        <c:auto val="1"/>
        <c:lblAlgn val="ctr"/>
        <c:lblOffset val="100"/>
        <c:noMultiLvlLbl val="0"/>
      </c:catAx>
      <c:valAx>
        <c:axId val="57396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883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電力比較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電力データ_0610以降_100N!$C$71:$C$76</c:f>
              <c:strCache>
                <c:ptCount val="6"/>
                <c:pt idx="0">
                  <c:v>100N16M</c:v>
                </c:pt>
                <c:pt idx="1">
                  <c:v>100N12M</c:v>
                </c:pt>
                <c:pt idx="2">
                  <c:v>100N8M</c:v>
                </c:pt>
                <c:pt idx="3">
                  <c:v>100N4M</c:v>
                </c:pt>
                <c:pt idx="4">
                  <c:v>100N2M</c:v>
                </c:pt>
                <c:pt idx="5">
                  <c:v>100N1M</c:v>
                </c:pt>
              </c:strCache>
            </c:strRef>
          </c:cat>
          <c:val>
            <c:numRef>
              <c:f>電力データ_0610以降_100N!$D$71:$D$76</c:f>
              <c:numCache>
                <c:formatCode>General</c:formatCode>
                <c:ptCount val="6"/>
                <c:pt idx="0">
                  <c:v>1.893823</c:v>
                </c:pt>
                <c:pt idx="1">
                  <c:v>1.8137099999999999</c:v>
                </c:pt>
                <c:pt idx="2">
                  <c:v>1.723274</c:v>
                </c:pt>
                <c:pt idx="3">
                  <c:v>1.636242</c:v>
                </c:pt>
                <c:pt idx="4">
                  <c:v>1.5922099999999999</c:v>
                </c:pt>
                <c:pt idx="5">
                  <c:v>1.5545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A-4F0A-9E2D-2E38280E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8809552"/>
        <c:axId val="1548815312"/>
      </c:lineChart>
      <c:catAx>
        <c:axId val="1548809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テスト回路名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8815312"/>
        <c:crosses val="autoZero"/>
        <c:auto val="1"/>
        <c:lblAlgn val="ctr"/>
        <c:lblOffset val="100"/>
        <c:noMultiLvlLbl val="0"/>
      </c:catAx>
      <c:valAx>
        <c:axId val="154881531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aseline="0"/>
                  <a:t>電力［</a:t>
                </a:r>
                <a:r>
                  <a:rPr lang="en-US" altLang="ja-JP" baseline="0"/>
                  <a:t>W</a:t>
                </a:r>
                <a:r>
                  <a:rPr lang="ja-JP" altLang="en-US" baseline="0"/>
                  <a:t>］</a:t>
                </a:r>
                <a:endParaRPr lang="en-US" altLang="ja-JP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880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テスト回路</a:t>
            </a:r>
            <a:r>
              <a:rPr lang="en-US" altLang="ja-JP"/>
              <a:t>100N16M~1M</a:t>
            </a:r>
            <a:r>
              <a:rPr lang="ja-JP" altLang="en-US"/>
              <a:t>   電力</a:t>
            </a:r>
            <a:r>
              <a:rPr lang="en-US" altLang="ja-JP"/>
              <a:t>/LUT</a:t>
            </a:r>
            <a:r>
              <a:rPr lang="ja-JP" altLang="en-US"/>
              <a:t>数  散布図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電力データ_0610以降_100N!$P$71</c:f>
              <c:strCache>
                <c:ptCount val="1"/>
                <c:pt idx="0">
                  <c:v>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BD3B231-08F4-4F88-A075-1B582A126F27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098-4F52-BA14-05DC4A51DE4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A3400F4-00CF-418F-99AA-FEFE3AA2B9F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098-4F52-BA14-05DC4A51DE4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2A11EC5-C696-4C6A-A8F3-954A069F07D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098-4F52-BA14-05DC4A51DE4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A1572C1-FAA7-499D-8F03-8C88F12898C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098-4F52-BA14-05DC4A51DE4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0BA32D6-9A10-4DB0-95B8-E0906429200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098-4F52-BA14-05DC4A51DE4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09A23D0-1655-4379-8984-3E78C857405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098-4F52-BA14-05DC4A51DE4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CA21EA6-96C1-4471-8692-42D9F7D12B4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098-4F52-BA14-05DC4A51DE4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EECD496-AB8B-4D3D-ADC7-0865FE85AAE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098-4F52-BA14-05DC4A51DE4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69685AC-3C44-4234-9E62-89E1FB56640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098-4F52-BA14-05DC4A51DE4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CBB25DC-252B-42FF-A839-9A23031C905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098-4F52-BA14-05DC4A51DE4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8CF6065-A0B3-4019-8C69-68A26178D15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098-4F52-BA14-05DC4A51DE4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01F6C3D-FF7E-4A60-A792-0513549454F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098-4F52-BA14-05DC4A51DE4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48CD0B0-71F3-4C4D-9E3D-EE089271720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098-4F52-BA14-05DC4A51DE4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D02F7B3-76D9-4703-97E4-3110E0DE5A3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098-4F52-BA14-05DC4A51DE4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286176D-2FCD-4665-87C4-6C373FAB4B8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098-4F52-BA14-05DC4A51DE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電力データ_0610以降_100N!$O$72:$O$86</c:f>
              <c:numCache>
                <c:formatCode>#,##0</c:formatCode>
                <c:ptCount val="15"/>
                <c:pt idx="0">
                  <c:v>3775</c:v>
                </c:pt>
                <c:pt idx="1">
                  <c:v>8042</c:v>
                </c:pt>
                <c:pt idx="2">
                  <c:v>17660</c:v>
                </c:pt>
                <c:pt idx="3">
                  <c:v>23794</c:v>
                </c:pt>
                <c:pt idx="4">
                  <c:v>26971</c:v>
                </c:pt>
                <c:pt idx="5">
                  <c:v>4267</c:v>
                </c:pt>
                <c:pt idx="6">
                  <c:v>13885</c:v>
                </c:pt>
                <c:pt idx="7">
                  <c:v>20019</c:v>
                </c:pt>
                <c:pt idx="8">
                  <c:v>23196</c:v>
                </c:pt>
                <c:pt idx="9">
                  <c:v>9618</c:v>
                </c:pt>
                <c:pt idx="10">
                  <c:v>15752</c:v>
                </c:pt>
                <c:pt idx="11">
                  <c:v>18929</c:v>
                </c:pt>
                <c:pt idx="12">
                  <c:v>6134</c:v>
                </c:pt>
                <c:pt idx="13">
                  <c:v>9311</c:v>
                </c:pt>
                <c:pt idx="14">
                  <c:v>3177</c:v>
                </c:pt>
              </c:numCache>
            </c:numRef>
          </c:xVal>
          <c:yVal>
            <c:numRef>
              <c:f>電力データ_0610以降_100N!$P$72:$P$86</c:f>
              <c:numCache>
                <c:formatCode>0.0000</c:formatCode>
                <c:ptCount val="15"/>
                <c:pt idx="0">
                  <c:v>8.0112903225806997E-2</c:v>
                </c:pt>
                <c:pt idx="1">
                  <c:v>0.170548387096775</c:v>
                </c:pt>
                <c:pt idx="2">
                  <c:v>0.25758064516129053</c:v>
                </c:pt>
                <c:pt idx="3">
                  <c:v>0.30161290322580769</c:v>
                </c:pt>
                <c:pt idx="4">
                  <c:v>0.33932258064516141</c:v>
                </c:pt>
                <c:pt idx="5">
                  <c:v>9.0435483870968003E-2</c:v>
                </c:pt>
                <c:pt idx="6">
                  <c:v>0.17746774193548354</c:v>
                </c:pt>
                <c:pt idx="7">
                  <c:v>0.2215000000000007</c:v>
                </c:pt>
                <c:pt idx="8">
                  <c:v>0.25920967741935441</c:v>
                </c:pt>
                <c:pt idx="9">
                  <c:v>8.7032258064515533E-2</c:v>
                </c:pt>
                <c:pt idx="10">
                  <c:v>0.13106451612903269</c:v>
                </c:pt>
                <c:pt idx="11">
                  <c:v>0.16877419354838641</c:v>
                </c:pt>
                <c:pt idx="12">
                  <c:v>4.403225806451716E-2</c:v>
                </c:pt>
                <c:pt idx="13">
                  <c:v>8.1741935483870876E-2</c:v>
                </c:pt>
                <c:pt idx="14">
                  <c:v>3.7709677419353715E-2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電力データ_0610以降_100N!$N$72:$N$86</c15:f>
                <c15:dlblRangeCache>
                  <c:ptCount val="15"/>
                  <c:pt idx="0">
                    <c:v>16M-12M</c:v>
                  </c:pt>
                  <c:pt idx="1">
                    <c:v>16M-8M</c:v>
                  </c:pt>
                  <c:pt idx="2">
                    <c:v>16M-4M</c:v>
                  </c:pt>
                  <c:pt idx="3">
                    <c:v>16M-2M</c:v>
                  </c:pt>
                  <c:pt idx="4">
                    <c:v>16M-1M</c:v>
                  </c:pt>
                  <c:pt idx="5">
                    <c:v>12M -8M</c:v>
                  </c:pt>
                  <c:pt idx="6">
                    <c:v>12M-4M</c:v>
                  </c:pt>
                  <c:pt idx="7">
                    <c:v>12M-2M</c:v>
                  </c:pt>
                  <c:pt idx="8">
                    <c:v>12M-1M</c:v>
                  </c:pt>
                  <c:pt idx="9">
                    <c:v>8M-4M</c:v>
                  </c:pt>
                  <c:pt idx="10">
                    <c:v>8M-2M</c:v>
                  </c:pt>
                  <c:pt idx="11">
                    <c:v>8M-1M</c:v>
                  </c:pt>
                  <c:pt idx="12">
                    <c:v>4M-2M</c:v>
                  </c:pt>
                  <c:pt idx="13">
                    <c:v>4M-1M</c:v>
                  </c:pt>
                  <c:pt idx="14">
                    <c:v>2M-1M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4D4-474A-9D12-A4BBAD294DD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09853744"/>
        <c:axId val="609856624"/>
      </c:scatterChart>
      <c:valAx>
        <c:axId val="609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LUT </a:t>
                </a:r>
                <a:r>
                  <a:rPr lang="ja-JP" altLang="en-US"/>
                  <a:t>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09856624"/>
        <c:crosses val="autoZero"/>
        <c:crossBetween val="midCat"/>
        <c:majorUnit val="2500"/>
      </c:valAx>
      <c:valAx>
        <c:axId val="60985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</a:t>
                </a:r>
                <a:r>
                  <a:rPr lang="en-US" altLang="ja-JP"/>
                  <a:t>[W]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09853744"/>
        <c:crosses val="autoZero"/>
        <c:crossBetween val="midCat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2</a:t>
            </a:r>
            <a:r>
              <a:rPr lang="ja-JP" altLang="en-US"/>
              <a:t>者の回路の</a:t>
            </a:r>
            <a:r>
              <a:rPr lang="en-US" altLang="ja-JP"/>
              <a:t>LUT</a:t>
            </a:r>
            <a:r>
              <a:rPr lang="ja-JP" altLang="en-US"/>
              <a:t>数と電力差</a:t>
            </a:r>
          </a:p>
        </c:rich>
      </c:tx>
      <c:layout>
        <c:manualLayout>
          <c:xMode val="edge"/>
          <c:yMode val="edge"/>
          <c:x val="0.31195878138880995"/>
          <c:y val="2.8717948717948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電力データ_0610以降_100N!$O$71</c:f>
              <c:strCache>
                <c:ptCount val="1"/>
                <c:pt idx="0">
                  <c:v>LUT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電力データ_0610以降_100N!$N$72:$N$86</c:f>
              <c:strCache>
                <c:ptCount val="15"/>
                <c:pt idx="0">
                  <c:v>16M-12M</c:v>
                </c:pt>
                <c:pt idx="1">
                  <c:v>16M-8M</c:v>
                </c:pt>
                <c:pt idx="2">
                  <c:v>16M-4M</c:v>
                </c:pt>
                <c:pt idx="3">
                  <c:v>16M-2M</c:v>
                </c:pt>
                <c:pt idx="4">
                  <c:v>16M-1M</c:v>
                </c:pt>
                <c:pt idx="5">
                  <c:v>12M -8M</c:v>
                </c:pt>
                <c:pt idx="6">
                  <c:v>12M-4M</c:v>
                </c:pt>
                <c:pt idx="7">
                  <c:v>12M-2M</c:v>
                </c:pt>
                <c:pt idx="8">
                  <c:v>12M-1M</c:v>
                </c:pt>
                <c:pt idx="9">
                  <c:v>8M-4M</c:v>
                </c:pt>
                <c:pt idx="10">
                  <c:v>8M-2M</c:v>
                </c:pt>
                <c:pt idx="11">
                  <c:v>8M-1M</c:v>
                </c:pt>
                <c:pt idx="12">
                  <c:v>4M-2M</c:v>
                </c:pt>
                <c:pt idx="13">
                  <c:v>4M-1M</c:v>
                </c:pt>
                <c:pt idx="14">
                  <c:v>2M-1M</c:v>
                </c:pt>
              </c:strCache>
            </c:strRef>
          </c:cat>
          <c:val>
            <c:numRef>
              <c:f>電力データ_0610以降_100N!$O$72:$O$86</c:f>
              <c:numCache>
                <c:formatCode>#,##0</c:formatCode>
                <c:ptCount val="15"/>
                <c:pt idx="0">
                  <c:v>3775</c:v>
                </c:pt>
                <c:pt idx="1">
                  <c:v>8042</c:v>
                </c:pt>
                <c:pt idx="2">
                  <c:v>17660</c:v>
                </c:pt>
                <c:pt idx="3">
                  <c:v>23794</c:v>
                </c:pt>
                <c:pt idx="4">
                  <c:v>26971</c:v>
                </c:pt>
                <c:pt idx="5">
                  <c:v>4267</c:v>
                </c:pt>
                <c:pt idx="6">
                  <c:v>13885</c:v>
                </c:pt>
                <c:pt idx="7">
                  <c:v>20019</c:v>
                </c:pt>
                <c:pt idx="8">
                  <c:v>23196</c:v>
                </c:pt>
                <c:pt idx="9">
                  <c:v>9618</c:v>
                </c:pt>
                <c:pt idx="10">
                  <c:v>15752</c:v>
                </c:pt>
                <c:pt idx="11">
                  <c:v>18929</c:v>
                </c:pt>
                <c:pt idx="12">
                  <c:v>6134</c:v>
                </c:pt>
                <c:pt idx="13">
                  <c:v>9311</c:v>
                </c:pt>
                <c:pt idx="14">
                  <c:v>3177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A-42E5-9D13-AE92AFE13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60007616"/>
        <c:axId val="1560006656"/>
      </c:barChart>
      <c:scatterChart>
        <c:scatterStyle val="lineMarker"/>
        <c:varyColors val="0"/>
        <c:ser>
          <c:idx val="1"/>
          <c:order val="1"/>
          <c:tx>
            <c:strRef>
              <c:f>電力データ_0610以降_100N!$P$71</c:f>
              <c:strCache>
                <c:ptCount val="1"/>
                <c:pt idx="0">
                  <c:v>POWER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電力データ_0610以降_100N!$N$72:$N$86</c:f>
              <c:strCache>
                <c:ptCount val="15"/>
                <c:pt idx="0">
                  <c:v>16M-12M</c:v>
                </c:pt>
                <c:pt idx="1">
                  <c:v>16M-8M</c:v>
                </c:pt>
                <c:pt idx="2">
                  <c:v>16M-4M</c:v>
                </c:pt>
                <c:pt idx="3">
                  <c:v>16M-2M</c:v>
                </c:pt>
                <c:pt idx="4">
                  <c:v>16M-1M</c:v>
                </c:pt>
                <c:pt idx="5">
                  <c:v>12M -8M</c:v>
                </c:pt>
                <c:pt idx="6">
                  <c:v>12M-4M</c:v>
                </c:pt>
                <c:pt idx="7">
                  <c:v>12M-2M</c:v>
                </c:pt>
                <c:pt idx="8">
                  <c:v>12M-1M</c:v>
                </c:pt>
                <c:pt idx="9">
                  <c:v>8M-4M</c:v>
                </c:pt>
                <c:pt idx="10">
                  <c:v>8M-2M</c:v>
                </c:pt>
                <c:pt idx="11">
                  <c:v>8M-1M</c:v>
                </c:pt>
                <c:pt idx="12">
                  <c:v>4M-2M</c:v>
                </c:pt>
                <c:pt idx="13">
                  <c:v>4M-1M</c:v>
                </c:pt>
                <c:pt idx="14">
                  <c:v>2M-1M</c:v>
                </c:pt>
              </c:strCache>
            </c:strRef>
          </c:xVal>
          <c:yVal>
            <c:numRef>
              <c:f>電力データ_0610以降_100N!$P$72:$P$86</c:f>
              <c:numCache>
                <c:formatCode>0.0000</c:formatCode>
                <c:ptCount val="15"/>
                <c:pt idx="0">
                  <c:v>8.0112903225806997E-2</c:v>
                </c:pt>
                <c:pt idx="1">
                  <c:v>0.170548387096775</c:v>
                </c:pt>
                <c:pt idx="2">
                  <c:v>0.25758064516129053</c:v>
                </c:pt>
                <c:pt idx="3">
                  <c:v>0.30161290322580769</c:v>
                </c:pt>
                <c:pt idx="4">
                  <c:v>0.33932258064516141</c:v>
                </c:pt>
                <c:pt idx="5">
                  <c:v>9.0435483870968003E-2</c:v>
                </c:pt>
                <c:pt idx="6">
                  <c:v>0.17746774193548354</c:v>
                </c:pt>
                <c:pt idx="7">
                  <c:v>0.2215000000000007</c:v>
                </c:pt>
                <c:pt idx="8">
                  <c:v>0.25920967741935441</c:v>
                </c:pt>
                <c:pt idx="9">
                  <c:v>8.7032258064515533E-2</c:v>
                </c:pt>
                <c:pt idx="10">
                  <c:v>0.13106451612903269</c:v>
                </c:pt>
                <c:pt idx="11">
                  <c:v>0.16877419354838641</c:v>
                </c:pt>
                <c:pt idx="12">
                  <c:v>4.403225806451716E-2</c:v>
                </c:pt>
                <c:pt idx="13">
                  <c:v>8.1741935483870876E-2</c:v>
                </c:pt>
                <c:pt idx="14">
                  <c:v>3.7709677419353715E-2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BA-42E5-9D13-AE92AFE13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702352"/>
        <c:axId val="867702832"/>
      </c:scatterChart>
      <c:catAx>
        <c:axId val="156000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差分を取った回路名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60006656"/>
        <c:crosses val="autoZero"/>
        <c:auto val="1"/>
        <c:lblAlgn val="ctr"/>
        <c:lblOffset val="100"/>
        <c:noMultiLvlLbl val="0"/>
      </c:catAx>
      <c:valAx>
        <c:axId val="156000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LUT</a:t>
                </a:r>
                <a:r>
                  <a:rPr lang="ja-JP" altLang="en-US"/>
                  <a:t>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60007616"/>
        <c:crosses val="autoZero"/>
        <c:crossBetween val="between"/>
      </c:valAx>
      <c:valAx>
        <c:axId val="867702832"/>
        <c:scaling>
          <c:orientation val="minMax"/>
        </c:scaling>
        <c:delete val="0"/>
        <c:axPos val="r"/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</a:t>
                </a:r>
                <a:r>
                  <a:rPr lang="en-US" altLang="ja-JP"/>
                  <a:t>[W]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7702352"/>
        <c:crosses val="max"/>
        <c:crossBetween val="midCat"/>
      </c:valAx>
      <c:valAx>
        <c:axId val="867702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7702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baseline="0">
                <a:effectLst/>
              </a:rPr>
              <a:t>2</a:t>
            </a:r>
            <a:r>
              <a:rPr lang="ja-JP" altLang="ja-JP" sz="1400" b="0" i="0" baseline="0">
                <a:effectLst/>
              </a:rPr>
              <a:t>者の回路の</a:t>
            </a:r>
            <a:r>
              <a:rPr lang="en-US" altLang="ja-JP" sz="1400" b="0" i="0" baseline="0">
                <a:effectLst/>
              </a:rPr>
              <a:t>LUT</a:t>
            </a:r>
            <a:r>
              <a:rPr lang="ja-JP" altLang="ja-JP" sz="1400" b="0" i="0" baseline="0">
                <a:effectLst/>
              </a:rPr>
              <a:t>数と電力差</a:t>
            </a:r>
            <a:endParaRPr lang="ja-JP" altLang="ja-JP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電力データ_0610以降_100N!$G$92</c:f>
              <c:strCache>
                <c:ptCount val="1"/>
                <c:pt idx="0">
                  <c:v>LUT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電力データ_0610以降_100N!$F$93:$F$107</c:f>
              <c:strCache>
                <c:ptCount val="15"/>
                <c:pt idx="0">
                  <c:v>16M-12M</c:v>
                </c:pt>
                <c:pt idx="1">
                  <c:v>16M-8M</c:v>
                </c:pt>
                <c:pt idx="2">
                  <c:v>16M-4M</c:v>
                </c:pt>
                <c:pt idx="3">
                  <c:v>16M-2M</c:v>
                </c:pt>
                <c:pt idx="4">
                  <c:v>16M-1M</c:v>
                </c:pt>
                <c:pt idx="5">
                  <c:v>12M -8M</c:v>
                </c:pt>
                <c:pt idx="6">
                  <c:v>12M-4M</c:v>
                </c:pt>
                <c:pt idx="7">
                  <c:v>12M-2M</c:v>
                </c:pt>
                <c:pt idx="8">
                  <c:v>12M-1M</c:v>
                </c:pt>
                <c:pt idx="9">
                  <c:v>8M-4M</c:v>
                </c:pt>
                <c:pt idx="10">
                  <c:v>8M-2M</c:v>
                </c:pt>
                <c:pt idx="11">
                  <c:v>8M-1M</c:v>
                </c:pt>
                <c:pt idx="12">
                  <c:v>4M-2M</c:v>
                </c:pt>
                <c:pt idx="13">
                  <c:v>4M-1M</c:v>
                </c:pt>
                <c:pt idx="14">
                  <c:v>2M-1M</c:v>
                </c:pt>
              </c:strCache>
            </c:strRef>
          </c:cat>
          <c:val>
            <c:numRef>
              <c:f>電力データ_0610以降_100N!$G$93:$G$107</c:f>
              <c:numCache>
                <c:formatCode>#,##0</c:formatCode>
                <c:ptCount val="15"/>
                <c:pt idx="0">
                  <c:v>3775</c:v>
                </c:pt>
                <c:pt idx="1">
                  <c:v>8042</c:v>
                </c:pt>
                <c:pt idx="2">
                  <c:v>17660</c:v>
                </c:pt>
                <c:pt idx="3">
                  <c:v>23794</c:v>
                </c:pt>
                <c:pt idx="4">
                  <c:v>26971</c:v>
                </c:pt>
                <c:pt idx="5">
                  <c:v>4267</c:v>
                </c:pt>
                <c:pt idx="6">
                  <c:v>13885</c:v>
                </c:pt>
                <c:pt idx="7">
                  <c:v>20019</c:v>
                </c:pt>
                <c:pt idx="8">
                  <c:v>23196</c:v>
                </c:pt>
                <c:pt idx="9">
                  <c:v>9618</c:v>
                </c:pt>
                <c:pt idx="10">
                  <c:v>15752</c:v>
                </c:pt>
                <c:pt idx="11">
                  <c:v>18929</c:v>
                </c:pt>
                <c:pt idx="12">
                  <c:v>6134</c:v>
                </c:pt>
                <c:pt idx="13">
                  <c:v>9311</c:v>
                </c:pt>
                <c:pt idx="14">
                  <c:v>3177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6-4C36-8A5B-AE8A8B299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2273264"/>
        <c:axId val="1236007680"/>
      </c:barChart>
      <c:scatterChart>
        <c:scatterStyle val="lineMarker"/>
        <c:varyColors val="0"/>
        <c:ser>
          <c:idx val="1"/>
          <c:order val="1"/>
          <c:tx>
            <c:strRef>
              <c:f>電力データ_0610以降_100N!$H$92</c:f>
              <c:strCache>
                <c:ptCount val="1"/>
                <c:pt idx="0">
                  <c:v>POWER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電力データ_0610以降_100N!$F$93:$F$107</c:f>
              <c:strCache>
                <c:ptCount val="15"/>
                <c:pt idx="0">
                  <c:v>16M-12M</c:v>
                </c:pt>
                <c:pt idx="1">
                  <c:v>16M-8M</c:v>
                </c:pt>
                <c:pt idx="2">
                  <c:v>16M-4M</c:v>
                </c:pt>
                <c:pt idx="3">
                  <c:v>16M-2M</c:v>
                </c:pt>
                <c:pt idx="4">
                  <c:v>16M-1M</c:v>
                </c:pt>
                <c:pt idx="5">
                  <c:v>12M -8M</c:v>
                </c:pt>
                <c:pt idx="6">
                  <c:v>12M-4M</c:v>
                </c:pt>
                <c:pt idx="7">
                  <c:v>12M-2M</c:v>
                </c:pt>
                <c:pt idx="8">
                  <c:v>12M-1M</c:v>
                </c:pt>
                <c:pt idx="9">
                  <c:v>8M-4M</c:v>
                </c:pt>
                <c:pt idx="10">
                  <c:v>8M-2M</c:v>
                </c:pt>
                <c:pt idx="11">
                  <c:v>8M-1M</c:v>
                </c:pt>
                <c:pt idx="12">
                  <c:v>4M-2M</c:v>
                </c:pt>
                <c:pt idx="13">
                  <c:v>4M-1M</c:v>
                </c:pt>
                <c:pt idx="14">
                  <c:v>2M-1M</c:v>
                </c:pt>
              </c:strCache>
            </c:strRef>
          </c:xVal>
          <c:yVal>
            <c:numRef>
              <c:f>電力データ_0610以降_100N!$H$93:$H$107</c:f>
              <c:numCache>
                <c:formatCode>General</c:formatCode>
                <c:ptCount val="15"/>
                <c:pt idx="0">
                  <c:v>7.7290322580645832E-2</c:v>
                </c:pt>
                <c:pt idx="1">
                  <c:v>0.16769354838709782</c:v>
                </c:pt>
                <c:pt idx="2">
                  <c:v>0.25366129032258078</c:v>
                </c:pt>
                <c:pt idx="3">
                  <c:v>0.29485483870967943</c:v>
                </c:pt>
                <c:pt idx="4">
                  <c:v>0.33369354838709664</c:v>
                </c:pt>
                <c:pt idx="5">
                  <c:v>9.0403225806451992E-2</c:v>
                </c:pt>
                <c:pt idx="6">
                  <c:v>0.17637096774193495</c:v>
                </c:pt>
                <c:pt idx="7">
                  <c:v>0.2175645161290336</c:v>
                </c:pt>
                <c:pt idx="8">
                  <c:v>0.25640322580645081</c:v>
                </c:pt>
                <c:pt idx="9">
                  <c:v>8.5967741935482955E-2</c:v>
                </c:pt>
                <c:pt idx="10">
                  <c:v>0.12716129032258161</c:v>
                </c:pt>
                <c:pt idx="11">
                  <c:v>0.16599999999999882</c:v>
                </c:pt>
                <c:pt idx="12">
                  <c:v>4.1193548387098655E-2</c:v>
                </c:pt>
                <c:pt idx="13">
                  <c:v>8.003225806451586E-2</c:v>
                </c:pt>
                <c:pt idx="14">
                  <c:v>3.8838709677417205E-2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6-4C36-8A5B-AE8A8B299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294864"/>
        <c:axId val="1235998528"/>
      </c:scatterChart>
      <c:catAx>
        <c:axId val="111227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差分をとった回路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36007680"/>
        <c:crosses val="autoZero"/>
        <c:auto val="1"/>
        <c:lblAlgn val="ctr"/>
        <c:lblOffset val="100"/>
        <c:noMultiLvlLbl val="0"/>
      </c:catAx>
      <c:valAx>
        <c:axId val="123600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LUT</a:t>
                </a:r>
                <a:r>
                  <a:rPr lang="ja-JP" altLang="en-US"/>
                  <a:t>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2273264"/>
        <c:crosses val="autoZero"/>
        <c:crossBetween val="between"/>
      </c:valAx>
      <c:valAx>
        <c:axId val="1235998528"/>
        <c:scaling>
          <c:orientation val="minMax"/>
        </c:scaling>
        <c:delete val="0"/>
        <c:axPos val="r"/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電力［</a:t>
                </a:r>
                <a:r>
                  <a:rPr lang="en-US" altLang="ja-JP"/>
                  <a:t>W</a:t>
                </a:r>
                <a:r>
                  <a:rPr lang="ja-JP" altLang="en-US"/>
                  <a:t>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2294864"/>
        <c:crosses val="max"/>
        <c:crossBetween val="midCat"/>
      </c:valAx>
      <c:valAx>
        <c:axId val="1112294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5998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400" b="0" i="0" baseline="0">
                <a:effectLst/>
              </a:rPr>
              <a:t>テスト回路</a:t>
            </a:r>
            <a:r>
              <a:rPr lang="en-US" altLang="ja-JP" sz="1400" b="0" i="0" baseline="0">
                <a:effectLst/>
              </a:rPr>
              <a:t>100N16M~1M</a:t>
            </a:r>
            <a:r>
              <a:rPr lang="ja-JP" altLang="ja-JP" sz="1400" b="0" i="0" baseline="0">
                <a:effectLst/>
              </a:rPr>
              <a:t>   電力</a:t>
            </a:r>
            <a:r>
              <a:rPr lang="en-US" altLang="ja-JP" sz="1400" b="0" i="0" baseline="0">
                <a:effectLst/>
              </a:rPr>
              <a:t>/LUT</a:t>
            </a:r>
            <a:r>
              <a:rPr lang="ja-JP" altLang="ja-JP" sz="1400" b="0" i="0" baseline="0">
                <a:effectLst/>
              </a:rPr>
              <a:t>数  散布図</a:t>
            </a:r>
            <a:endParaRPr lang="ja-JP" altLang="ja-JP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電力データ_0610以降_100N!$H$92</c:f>
              <c:strCache>
                <c:ptCount val="1"/>
                <c:pt idx="0">
                  <c:v>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892CE03-A5F9-4E22-A6E7-57736CD8B06E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069-4CCF-AA05-E37BC1956E7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7EEABF2-29A0-463F-A4F1-B54C87B7E4D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069-4CCF-AA05-E37BC1956E7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2D9733A-38BF-4290-8A73-2F8C3497E30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069-4CCF-AA05-E37BC1956E7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421864D-B06E-42E8-9340-B99C7E9290E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069-4CCF-AA05-E37BC1956E7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3934A7D-92F5-41AF-9EF9-F7496ECC677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069-4CCF-AA05-E37BC1956E7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D865506-8431-46D3-BBAE-5FEF404CD89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069-4CCF-AA05-E37BC1956E7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CB11A7F-C97E-4A60-A82E-C9ADFAB543C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069-4CCF-AA05-E37BC1956E7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AE9CDAE-6E40-4AAC-9398-5582A11B75C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069-4CCF-AA05-E37BC1956E7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1C3A440-7357-45EC-A9C4-5B1D6664182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069-4CCF-AA05-E37BC1956E7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264DE62-90A9-4B91-B23C-BAB4D486182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069-4CCF-AA05-E37BC1956E7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2EF397D-097F-4BBB-9EAF-F44CE685181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069-4CCF-AA05-E37BC1956E7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B88C586-9EF6-4FD0-B4C5-201D7D97329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069-4CCF-AA05-E37BC1956E7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808E47C-FD48-498A-A165-95D806EF0F0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069-4CCF-AA05-E37BC1956E7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39FA06C-15FD-449A-9859-1088F25A17E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069-4CCF-AA05-E37BC1956E7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556425B-C29A-4AD0-A89F-CD18BCB851E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069-4CCF-AA05-E37BC1956E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電力データ_0610以降_100N!$G$93:$G$107</c:f>
              <c:numCache>
                <c:formatCode>#,##0</c:formatCode>
                <c:ptCount val="15"/>
                <c:pt idx="0">
                  <c:v>3775</c:v>
                </c:pt>
                <c:pt idx="1">
                  <c:v>8042</c:v>
                </c:pt>
                <c:pt idx="2">
                  <c:v>17660</c:v>
                </c:pt>
                <c:pt idx="3">
                  <c:v>23794</c:v>
                </c:pt>
                <c:pt idx="4">
                  <c:v>26971</c:v>
                </c:pt>
                <c:pt idx="5">
                  <c:v>4267</c:v>
                </c:pt>
                <c:pt idx="6">
                  <c:v>13885</c:v>
                </c:pt>
                <c:pt idx="7">
                  <c:v>20019</c:v>
                </c:pt>
                <c:pt idx="8">
                  <c:v>23196</c:v>
                </c:pt>
                <c:pt idx="9">
                  <c:v>9618</c:v>
                </c:pt>
                <c:pt idx="10">
                  <c:v>15752</c:v>
                </c:pt>
                <c:pt idx="11">
                  <c:v>18929</c:v>
                </c:pt>
                <c:pt idx="12">
                  <c:v>6134</c:v>
                </c:pt>
                <c:pt idx="13">
                  <c:v>9311</c:v>
                </c:pt>
                <c:pt idx="14">
                  <c:v>3177</c:v>
                </c:pt>
              </c:numCache>
            </c:numRef>
          </c:xVal>
          <c:yVal>
            <c:numRef>
              <c:f>電力データ_0610以降_100N!$H$93:$H$107</c:f>
              <c:numCache>
                <c:formatCode>General</c:formatCode>
                <c:ptCount val="15"/>
                <c:pt idx="0">
                  <c:v>7.7290322580645832E-2</c:v>
                </c:pt>
                <c:pt idx="1">
                  <c:v>0.16769354838709782</c:v>
                </c:pt>
                <c:pt idx="2">
                  <c:v>0.25366129032258078</c:v>
                </c:pt>
                <c:pt idx="3">
                  <c:v>0.29485483870967943</c:v>
                </c:pt>
                <c:pt idx="4">
                  <c:v>0.33369354838709664</c:v>
                </c:pt>
                <c:pt idx="5">
                  <c:v>9.0403225806451992E-2</c:v>
                </c:pt>
                <c:pt idx="6">
                  <c:v>0.17637096774193495</c:v>
                </c:pt>
                <c:pt idx="7">
                  <c:v>0.2175645161290336</c:v>
                </c:pt>
                <c:pt idx="8">
                  <c:v>0.25640322580645081</c:v>
                </c:pt>
                <c:pt idx="9">
                  <c:v>8.5967741935482955E-2</c:v>
                </c:pt>
                <c:pt idx="10">
                  <c:v>0.12716129032258161</c:v>
                </c:pt>
                <c:pt idx="11">
                  <c:v>0.16599999999999882</c:v>
                </c:pt>
                <c:pt idx="12">
                  <c:v>4.1193548387098655E-2</c:v>
                </c:pt>
                <c:pt idx="13">
                  <c:v>8.003225806451586E-2</c:v>
                </c:pt>
                <c:pt idx="14">
                  <c:v>3.8838709677417205E-2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電力データ_0610以降_100N!$F$93:$F$107</c15:f>
                <c15:dlblRangeCache>
                  <c:ptCount val="15"/>
                  <c:pt idx="0">
                    <c:v>16M-12M</c:v>
                  </c:pt>
                  <c:pt idx="1">
                    <c:v>16M-8M</c:v>
                  </c:pt>
                  <c:pt idx="2">
                    <c:v>16M-4M</c:v>
                  </c:pt>
                  <c:pt idx="3">
                    <c:v>16M-2M</c:v>
                  </c:pt>
                  <c:pt idx="4">
                    <c:v>16M-1M</c:v>
                  </c:pt>
                  <c:pt idx="5">
                    <c:v>12M -8M</c:v>
                  </c:pt>
                  <c:pt idx="6">
                    <c:v>12M-4M</c:v>
                  </c:pt>
                  <c:pt idx="7">
                    <c:v>12M-2M</c:v>
                  </c:pt>
                  <c:pt idx="8">
                    <c:v>12M-1M</c:v>
                  </c:pt>
                  <c:pt idx="9">
                    <c:v>8M-4M</c:v>
                  </c:pt>
                  <c:pt idx="10">
                    <c:v>8M-2M</c:v>
                  </c:pt>
                  <c:pt idx="11">
                    <c:v>8M-1M</c:v>
                  </c:pt>
                  <c:pt idx="12">
                    <c:v>4M-2M</c:v>
                  </c:pt>
                  <c:pt idx="13">
                    <c:v>4M-1M</c:v>
                  </c:pt>
                  <c:pt idx="14">
                    <c:v>2M-1M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069-4CCF-AA05-E37BC1956E7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96943392"/>
        <c:axId val="1235997696"/>
      </c:scatterChart>
      <c:valAx>
        <c:axId val="109694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LUT</a:t>
                </a:r>
                <a:r>
                  <a:rPr lang="ja-JP" altLang="en-US"/>
                  <a:t>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35997696"/>
        <c:crosses val="autoZero"/>
        <c:crossBetween val="midCat"/>
        <c:majorUnit val="2500"/>
      </c:valAx>
      <c:valAx>
        <c:axId val="123599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</a:t>
                </a:r>
                <a:r>
                  <a:rPr lang="en-US" altLang="ja-JP"/>
                  <a:t>[W]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b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96943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電力比較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電力データ_0610以降_100N!$B$93:$B$98</c:f>
              <c:strCache>
                <c:ptCount val="6"/>
                <c:pt idx="0">
                  <c:v>100N16M</c:v>
                </c:pt>
                <c:pt idx="1">
                  <c:v>100N12M</c:v>
                </c:pt>
                <c:pt idx="2">
                  <c:v>100N8M</c:v>
                </c:pt>
                <c:pt idx="3">
                  <c:v>100N4M</c:v>
                </c:pt>
                <c:pt idx="4">
                  <c:v>100N2M</c:v>
                </c:pt>
                <c:pt idx="5">
                  <c:v>100N1M</c:v>
                </c:pt>
              </c:strCache>
            </c:strRef>
          </c:cat>
          <c:val>
            <c:numRef>
              <c:f>電力データ_0610以降_100N!$C$93:$C$98</c:f>
              <c:numCache>
                <c:formatCode>General</c:formatCode>
                <c:ptCount val="6"/>
                <c:pt idx="0">
                  <c:v>0.38532258064516145</c:v>
                </c:pt>
                <c:pt idx="1">
                  <c:v>0.30803225806451562</c:v>
                </c:pt>
                <c:pt idx="2">
                  <c:v>0.21762903225806363</c:v>
                </c:pt>
                <c:pt idx="3">
                  <c:v>0.13166129032258067</c:v>
                </c:pt>
                <c:pt idx="4">
                  <c:v>9.0467741935482016E-2</c:v>
                </c:pt>
                <c:pt idx="5">
                  <c:v>5.1629032258064811E-2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E6-4167-BD79-C02CF38C8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4144208"/>
        <c:axId val="999846000"/>
      </c:lineChart>
      <c:catAx>
        <c:axId val="132414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9846000"/>
        <c:crosses val="autoZero"/>
        <c:auto val="1"/>
        <c:lblAlgn val="ctr"/>
        <c:lblOffset val="100"/>
        <c:noMultiLvlLbl val="0"/>
      </c:catAx>
      <c:valAx>
        <c:axId val="9998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414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電力データ_0610以降_100N!$C$129</c:f>
              <c:strCache>
                <c:ptCount val="1"/>
                <c:pt idx="0">
                  <c:v>POWER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電力データ_0610以降_100N!$B$130:$B$135</c:f>
              <c:strCache>
                <c:ptCount val="6"/>
                <c:pt idx="0">
                  <c:v>100N16M</c:v>
                </c:pt>
                <c:pt idx="1">
                  <c:v>100N12M</c:v>
                </c:pt>
                <c:pt idx="2">
                  <c:v>100N8M</c:v>
                </c:pt>
                <c:pt idx="3">
                  <c:v>100N4M</c:v>
                </c:pt>
                <c:pt idx="4">
                  <c:v>100N2M</c:v>
                </c:pt>
                <c:pt idx="5">
                  <c:v>100N1M</c:v>
                </c:pt>
              </c:strCache>
            </c:strRef>
          </c:cat>
          <c:val>
            <c:numRef>
              <c:f>電力データ_0610以降_100N!$C$130:$C$135</c:f>
              <c:numCache>
                <c:formatCode>General</c:formatCode>
                <c:ptCount val="6"/>
                <c:pt idx="0">
                  <c:v>0.54200000000000004</c:v>
                </c:pt>
                <c:pt idx="1">
                  <c:v>0.46600000000000003</c:v>
                </c:pt>
                <c:pt idx="2">
                  <c:v>0.36799999999999999</c:v>
                </c:pt>
                <c:pt idx="3">
                  <c:v>0.27</c:v>
                </c:pt>
                <c:pt idx="4">
                  <c:v>0.22</c:v>
                </c:pt>
                <c:pt idx="5">
                  <c:v>0.19700000000000001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67-49E6-825F-8FF802858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6153472"/>
        <c:axId val="1354244607"/>
      </c:lineChart>
      <c:catAx>
        <c:axId val="117615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54244607"/>
        <c:crosses val="autoZero"/>
        <c:auto val="1"/>
        <c:lblAlgn val="ctr"/>
        <c:lblOffset val="100"/>
        <c:noMultiLvlLbl val="0"/>
      </c:catAx>
      <c:valAx>
        <c:axId val="135424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7615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2</a:t>
            </a:r>
            <a:r>
              <a:rPr lang="ja-JP" altLang="en-US"/>
              <a:t>者の回路の</a:t>
            </a:r>
            <a:r>
              <a:rPr lang="en-US" altLang="ja-JP"/>
              <a:t>LUT</a:t>
            </a:r>
            <a:r>
              <a:rPr lang="ja-JP" altLang="en-US"/>
              <a:t>数と電力差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電力データ_0610以降_100N!$N$129</c:f>
              <c:strCache>
                <c:ptCount val="1"/>
                <c:pt idx="0">
                  <c:v>LUT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電力データ_0610以降_100N!$M$130:$M$144</c:f>
              <c:strCache>
                <c:ptCount val="15"/>
                <c:pt idx="0">
                  <c:v>16M-12M</c:v>
                </c:pt>
                <c:pt idx="1">
                  <c:v>16M-8M</c:v>
                </c:pt>
                <c:pt idx="2">
                  <c:v>16M-4M</c:v>
                </c:pt>
                <c:pt idx="3">
                  <c:v>16M-2M</c:v>
                </c:pt>
                <c:pt idx="4">
                  <c:v>16M-1M</c:v>
                </c:pt>
                <c:pt idx="5">
                  <c:v>12M -8M</c:v>
                </c:pt>
                <c:pt idx="6">
                  <c:v>12M-4M</c:v>
                </c:pt>
                <c:pt idx="7">
                  <c:v>12M-2M</c:v>
                </c:pt>
                <c:pt idx="8">
                  <c:v>12M-1M</c:v>
                </c:pt>
                <c:pt idx="9">
                  <c:v>8M-4M</c:v>
                </c:pt>
                <c:pt idx="10">
                  <c:v>8M-2M</c:v>
                </c:pt>
                <c:pt idx="11">
                  <c:v>8M-1M</c:v>
                </c:pt>
                <c:pt idx="12">
                  <c:v>4M-2M</c:v>
                </c:pt>
                <c:pt idx="13">
                  <c:v>4M-1M</c:v>
                </c:pt>
                <c:pt idx="14">
                  <c:v>2M-1M</c:v>
                </c:pt>
              </c:strCache>
            </c:strRef>
          </c:cat>
          <c:val>
            <c:numRef>
              <c:f>電力データ_0610以降_100N!$N$130:$N$144</c:f>
              <c:numCache>
                <c:formatCode>#,##0</c:formatCode>
                <c:ptCount val="15"/>
                <c:pt idx="0">
                  <c:v>3775</c:v>
                </c:pt>
                <c:pt idx="1">
                  <c:v>8042</c:v>
                </c:pt>
                <c:pt idx="2">
                  <c:v>17660</c:v>
                </c:pt>
                <c:pt idx="3">
                  <c:v>23794</c:v>
                </c:pt>
                <c:pt idx="4">
                  <c:v>26971</c:v>
                </c:pt>
                <c:pt idx="5">
                  <c:v>4267</c:v>
                </c:pt>
                <c:pt idx="6">
                  <c:v>13885</c:v>
                </c:pt>
                <c:pt idx="7">
                  <c:v>20019</c:v>
                </c:pt>
                <c:pt idx="8">
                  <c:v>23196</c:v>
                </c:pt>
                <c:pt idx="9">
                  <c:v>9618</c:v>
                </c:pt>
                <c:pt idx="10">
                  <c:v>15752</c:v>
                </c:pt>
                <c:pt idx="11">
                  <c:v>18929</c:v>
                </c:pt>
                <c:pt idx="12">
                  <c:v>6134</c:v>
                </c:pt>
                <c:pt idx="13">
                  <c:v>9311</c:v>
                </c:pt>
                <c:pt idx="14">
                  <c:v>3177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B-4B9F-BB58-8D0486B4A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383024"/>
        <c:axId val="905291632"/>
      </c:barChart>
      <c:scatterChart>
        <c:scatterStyle val="lineMarker"/>
        <c:varyColors val="0"/>
        <c:ser>
          <c:idx val="1"/>
          <c:order val="1"/>
          <c:tx>
            <c:strRef>
              <c:f>電力データ_0610以降_100N!$O$129</c:f>
              <c:strCache>
                <c:ptCount val="1"/>
                <c:pt idx="0">
                  <c:v>POWER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電力データ_0610以降_100N!$M$130:$M$144</c:f>
              <c:strCache>
                <c:ptCount val="15"/>
                <c:pt idx="0">
                  <c:v>16M-12M</c:v>
                </c:pt>
                <c:pt idx="1">
                  <c:v>16M-8M</c:v>
                </c:pt>
                <c:pt idx="2">
                  <c:v>16M-4M</c:v>
                </c:pt>
                <c:pt idx="3">
                  <c:v>16M-2M</c:v>
                </c:pt>
                <c:pt idx="4">
                  <c:v>16M-1M</c:v>
                </c:pt>
                <c:pt idx="5">
                  <c:v>12M -8M</c:v>
                </c:pt>
                <c:pt idx="6">
                  <c:v>12M-4M</c:v>
                </c:pt>
                <c:pt idx="7">
                  <c:v>12M-2M</c:v>
                </c:pt>
                <c:pt idx="8">
                  <c:v>12M-1M</c:v>
                </c:pt>
                <c:pt idx="9">
                  <c:v>8M-4M</c:v>
                </c:pt>
                <c:pt idx="10">
                  <c:v>8M-2M</c:v>
                </c:pt>
                <c:pt idx="11">
                  <c:v>8M-1M</c:v>
                </c:pt>
                <c:pt idx="12">
                  <c:v>4M-2M</c:v>
                </c:pt>
                <c:pt idx="13">
                  <c:v>4M-1M</c:v>
                </c:pt>
                <c:pt idx="14">
                  <c:v>2M-1M</c:v>
                </c:pt>
              </c:strCache>
            </c:strRef>
          </c:xVal>
          <c:yVal>
            <c:numRef>
              <c:f>電力データ_0610以降_100N!$O$130:$O$144</c:f>
              <c:numCache>
                <c:formatCode>General</c:formatCode>
                <c:ptCount val="15"/>
                <c:pt idx="0">
                  <c:v>7.6000000000000012E-2</c:v>
                </c:pt>
                <c:pt idx="1">
                  <c:v>0.17400000000000004</c:v>
                </c:pt>
                <c:pt idx="2">
                  <c:v>0.27200000000000002</c:v>
                </c:pt>
                <c:pt idx="3">
                  <c:v>0.32200000000000006</c:v>
                </c:pt>
                <c:pt idx="4">
                  <c:v>0.34500000000000003</c:v>
                </c:pt>
                <c:pt idx="5">
                  <c:v>9.8000000000000032E-2</c:v>
                </c:pt>
                <c:pt idx="6">
                  <c:v>0.19600000000000001</c:v>
                </c:pt>
                <c:pt idx="7">
                  <c:v>0.24600000000000002</c:v>
                </c:pt>
                <c:pt idx="8">
                  <c:v>0.26900000000000002</c:v>
                </c:pt>
                <c:pt idx="9">
                  <c:v>9.7999999999999976E-2</c:v>
                </c:pt>
                <c:pt idx="10">
                  <c:v>0.14799999999999999</c:v>
                </c:pt>
                <c:pt idx="11">
                  <c:v>0.17099999999999999</c:v>
                </c:pt>
                <c:pt idx="12">
                  <c:v>5.0000000000000017E-2</c:v>
                </c:pt>
                <c:pt idx="13">
                  <c:v>7.3000000000000009E-2</c:v>
                </c:pt>
                <c:pt idx="14">
                  <c:v>2.2999999999999993E-2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4B-4B9F-BB58-8D0486B4A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419824"/>
        <c:axId val="905296208"/>
      </c:scatterChart>
      <c:catAx>
        <c:axId val="54538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05291632"/>
        <c:crosses val="autoZero"/>
        <c:auto val="1"/>
        <c:lblAlgn val="ctr"/>
        <c:lblOffset val="100"/>
        <c:noMultiLvlLbl val="0"/>
      </c:catAx>
      <c:valAx>
        <c:axId val="90529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5383024"/>
        <c:crosses val="autoZero"/>
        <c:crossBetween val="between"/>
      </c:valAx>
      <c:valAx>
        <c:axId val="9052962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5419824"/>
        <c:crosses val="max"/>
        <c:crossBetween val="midCat"/>
      </c:valAx>
      <c:valAx>
        <c:axId val="545419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05296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電力データ_0610以降_100N!$O$129</c:f>
              <c:strCache>
                <c:ptCount val="1"/>
                <c:pt idx="0">
                  <c:v>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7DACC10-9F93-4167-AE69-048A42FF0EA3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418-4297-8CBE-492931E63E7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9D687CE-D5FC-40AB-AD7D-1D18323D928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418-4297-8CBE-492931E63E7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3EF15F5-A464-465A-B780-DD3F22B2A37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418-4297-8CBE-492931E63E7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2EB2883-1344-49F0-B5DE-7C95A34C8A8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418-4297-8CBE-492931E63E7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49997D3-BA7A-4244-B9E0-974260B1A9E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418-4297-8CBE-492931E63E7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B9C50B3-048C-4708-A079-7EF79F98D73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418-4297-8CBE-492931E63E7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51C154C-1845-4CFD-8792-3378D5FED38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418-4297-8CBE-492931E63E7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A430082-7D16-44D0-8546-939AF055C6B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418-4297-8CBE-492931E63E7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9084755-6529-4C34-A71D-55380E8F3C4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418-4297-8CBE-492931E63E7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332CC23-8B10-45FD-8DDC-0C24751F06D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418-4297-8CBE-492931E63E7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C2ECEA4-B51C-4423-9441-1EC2D52B6E1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418-4297-8CBE-492931E63E7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B35D8DA-CBB7-4F7D-8CEB-236B1379902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418-4297-8CBE-492931E63E7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663D55E-D54F-43A4-832A-44C4CDB1C4A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418-4297-8CBE-492931E63E7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422241C-B82A-4904-A5CF-7C5B6605D46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418-4297-8CBE-492931E63E7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9ED5CCD-E76A-48FE-8300-F63CB90C096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418-4297-8CBE-492931E63E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電力データ_0610以降_100N!$N$130:$N$144</c:f>
              <c:numCache>
                <c:formatCode>#,##0</c:formatCode>
                <c:ptCount val="15"/>
                <c:pt idx="0">
                  <c:v>3775</c:v>
                </c:pt>
                <c:pt idx="1">
                  <c:v>8042</c:v>
                </c:pt>
                <c:pt idx="2">
                  <c:v>17660</c:v>
                </c:pt>
                <c:pt idx="3">
                  <c:v>23794</c:v>
                </c:pt>
                <c:pt idx="4">
                  <c:v>26971</c:v>
                </c:pt>
                <c:pt idx="5">
                  <c:v>4267</c:v>
                </c:pt>
                <c:pt idx="6">
                  <c:v>13885</c:v>
                </c:pt>
                <c:pt idx="7">
                  <c:v>20019</c:v>
                </c:pt>
                <c:pt idx="8">
                  <c:v>23196</c:v>
                </c:pt>
                <c:pt idx="9">
                  <c:v>9618</c:v>
                </c:pt>
                <c:pt idx="10">
                  <c:v>15752</c:v>
                </c:pt>
                <c:pt idx="11">
                  <c:v>18929</c:v>
                </c:pt>
                <c:pt idx="12">
                  <c:v>6134</c:v>
                </c:pt>
                <c:pt idx="13">
                  <c:v>9311</c:v>
                </c:pt>
                <c:pt idx="14">
                  <c:v>3177</c:v>
                </c:pt>
              </c:numCache>
            </c:numRef>
          </c:xVal>
          <c:yVal>
            <c:numRef>
              <c:f>電力データ_0610以降_100N!$O$130:$O$144</c:f>
              <c:numCache>
                <c:formatCode>General</c:formatCode>
                <c:ptCount val="15"/>
                <c:pt idx="0">
                  <c:v>7.6000000000000012E-2</c:v>
                </c:pt>
                <c:pt idx="1">
                  <c:v>0.17400000000000004</c:v>
                </c:pt>
                <c:pt idx="2">
                  <c:v>0.27200000000000002</c:v>
                </c:pt>
                <c:pt idx="3">
                  <c:v>0.32200000000000006</c:v>
                </c:pt>
                <c:pt idx="4">
                  <c:v>0.34500000000000003</c:v>
                </c:pt>
                <c:pt idx="5">
                  <c:v>9.8000000000000032E-2</c:v>
                </c:pt>
                <c:pt idx="6">
                  <c:v>0.19600000000000001</c:v>
                </c:pt>
                <c:pt idx="7">
                  <c:v>0.24600000000000002</c:v>
                </c:pt>
                <c:pt idx="8">
                  <c:v>0.26900000000000002</c:v>
                </c:pt>
                <c:pt idx="9">
                  <c:v>9.7999999999999976E-2</c:v>
                </c:pt>
                <c:pt idx="10">
                  <c:v>0.14799999999999999</c:v>
                </c:pt>
                <c:pt idx="11">
                  <c:v>0.17099999999999999</c:v>
                </c:pt>
                <c:pt idx="12">
                  <c:v>5.0000000000000017E-2</c:v>
                </c:pt>
                <c:pt idx="13">
                  <c:v>7.3000000000000009E-2</c:v>
                </c:pt>
                <c:pt idx="14">
                  <c:v>2.2999999999999993E-2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電力データ_0610以降_100N!$M$130:$M$144</c15:f>
                <c15:dlblRangeCache>
                  <c:ptCount val="15"/>
                  <c:pt idx="0">
                    <c:v>16M-12M</c:v>
                  </c:pt>
                  <c:pt idx="1">
                    <c:v>16M-8M</c:v>
                  </c:pt>
                  <c:pt idx="2">
                    <c:v>16M-4M</c:v>
                  </c:pt>
                  <c:pt idx="3">
                    <c:v>16M-2M</c:v>
                  </c:pt>
                  <c:pt idx="4">
                    <c:v>16M-1M</c:v>
                  </c:pt>
                  <c:pt idx="5">
                    <c:v>12M -8M</c:v>
                  </c:pt>
                  <c:pt idx="6">
                    <c:v>12M-4M</c:v>
                  </c:pt>
                  <c:pt idx="7">
                    <c:v>12M-2M</c:v>
                  </c:pt>
                  <c:pt idx="8">
                    <c:v>12M-1M</c:v>
                  </c:pt>
                  <c:pt idx="9">
                    <c:v>8M-4M</c:v>
                  </c:pt>
                  <c:pt idx="10">
                    <c:v>8M-2M</c:v>
                  </c:pt>
                  <c:pt idx="11">
                    <c:v>8M-1M</c:v>
                  </c:pt>
                  <c:pt idx="12">
                    <c:v>4M-2M</c:v>
                  </c:pt>
                  <c:pt idx="13">
                    <c:v>4M-1M</c:v>
                  </c:pt>
                  <c:pt idx="14">
                    <c:v>2M-1M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418-4297-8CBE-492931E63E7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71211824"/>
        <c:axId val="1323649696"/>
      </c:scatterChart>
      <c:valAx>
        <c:axId val="137121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3649696"/>
        <c:crosses val="autoZero"/>
        <c:crossBetween val="midCat"/>
      </c:valAx>
      <c:valAx>
        <c:axId val="132364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7121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電力データ_0610以降_100N!$C$151</c:f>
              <c:strCache>
                <c:ptCount val="1"/>
                <c:pt idx="0">
                  <c:v>動作時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電力データ_0610以降_100N!$B$152:$B$157</c:f>
              <c:strCache>
                <c:ptCount val="6"/>
                <c:pt idx="0">
                  <c:v>100N16M</c:v>
                </c:pt>
                <c:pt idx="1">
                  <c:v>100N12M</c:v>
                </c:pt>
                <c:pt idx="2">
                  <c:v>100N8M</c:v>
                </c:pt>
                <c:pt idx="3">
                  <c:v>100N4M</c:v>
                </c:pt>
                <c:pt idx="4">
                  <c:v>100N2M</c:v>
                </c:pt>
                <c:pt idx="5">
                  <c:v>100N1M</c:v>
                </c:pt>
              </c:strCache>
            </c:strRef>
          </c:cat>
          <c:val>
            <c:numRef>
              <c:f>電力データ_0610以降_100N!$C$152:$C$157</c:f>
              <c:numCache>
                <c:formatCode>General</c:formatCode>
                <c:ptCount val="6"/>
                <c:pt idx="0">
                  <c:v>0.54200000000000004</c:v>
                </c:pt>
                <c:pt idx="1">
                  <c:v>0.46600000000000003</c:v>
                </c:pt>
                <c:pt idx="2">
                  <c:v>0.36799999999999999</c:v>
                </c:pt>
                <c:pt idx="3">
                  <c:v>0.27</c:v>
                </c:pt>
                <c:pt idx="4">
                  <c:v>0.22</c:v>
                </c:pt>
                <c:pt idx="5">
                  <c:v>0.19700000000000001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1D-4798-96E1-9E87CD8BBE59}"/>
            </c:ext>
          </c:extLst>
        </c:ser>
        <c:ser>
          <c:idx val="1"/>
          <c:order val="1"/>
          <c:tx>
            <c:strRef>
              <c:f>電力データ_0610以降_100N!$D$151</c:f>
              <c:strCache>
                <c:ptCount val="1"/>
                <c:pt idx="0">
                  <c:v>停止時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電力データ_0610以降_100N!$B$152:$B$157</c:f>
              <c:strCache>
                <c:ptCount val="6"/>
                <c:pt idx="0">
                  <c:v>100N16M</c:v>
                </c:pt>
                <c:pt idx="1">
                  <c:v>100N12M</c:v>
                </c:pt>
                <c:pt idx="2">
                  <c:v>100N8M</c:v>
                </c:pt>
                <c:pt idx="3">
                  <c:v>100N4M</c:v>
                </c:pt>
                <c:pt idx="4">
                  <c:v>100N2M</c:v>
                </c:pt>
                <c:pt idx="5">
                  <c:v>100N1M</c:v>
                </c:pt>
              </c:strCache>
            </c:strRef>
          </c:cat>
          <c:val>
            <c:numRef>
              <c:f>電力データ_0610以降_100N!$D$152:$D$157</c:f>
              <c:numCache>
                <c:formatCode>General</c:formatCode>
                <c:ptCount val="6"/>
                <c:pt idx="0">
                  <c:v>0.14699999999999999</c:v>
                </c:pt>
                <c:pt idx="1">
                  <c:v>0.14699999999999999</c:v>
                </c:pt>
                <c:pt idx="2">
                  <c:v>0.14699999999999999</c:v>
                </c:pt>
                <c:pt idx="3">
                  <c:v>0.14699999999999999</c:v>
                </c:pt>
                <c:pt idx="4">
                  <c:v>0.14699999999999999</c:v>
                </c:pt>
                <c:pt idx="5">
                  <c:v>0.14699999999999999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1D-4798-96E1-9E87CD8BBE59}"/>
            </c:ext>
          </c:extLst>
        </c:ser>
        <c:ser>
          <c:idx val="2"/>
          <c:order val="2"/>
          <c:tx>
            <c:strRef>
              <c:f>電力データ_0610以降_100N!$E$151</c:f>
              <c:strCache>
                <c:ptCount val="1"/>
                <c:pt idx="0">
                  <c:v>動作時‐停止時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電力データ_0610以降_100N!$B$152:$B$157</c:f>
              <c:strCache>
                <c:ptCount val="6"/>
                <c:pt idx="0">
                  <c:v>100N16M</c:v>
                </c:pt>
                <c:pt idx="1">
                  <c:v>100N12M</c:v>
                </c:pt>
                <c:pt idx="2">
                  <c:v>100N8M</c:v>
                </c:pt>
                <c:pt idx="3">
                  <c:v>100N4M</c:v>
                </c:pt>
                <c:pt idx="4">
                  <c:v>100N2M</c:v>
                </c:pt>
                <c:pt idx="5">
                  <c:v>100N1M</c:v>
                </c:pt>
              </c:strCache>
            </c:strRef>
          </c:cat>
          <c:val>
            <c:numRef>
              <c:f>電力データ_0610以降_100N!$E$152:$E$157</c:f>
              <c:numCache>
                <c:formatCode>General</c:formatCode>
                <c:ptCount val="6"/>
                <c:pt idx="0">
                  <c:v>0.39500000000000002</c:v>
                </c:pt>
                <c:pt idx="1">
                  <c:v>0.31900000000000006</c:v>
                </c:pt>
                <c:pt idx="2">
                  <c:v>0.221</c:v>
                </c:pt>
                <c:pt idx="3">
                  <c:v>0.12300000000000003</c:v>
                </c:pt>
                <c:pt idx="4">
                  <c:v>7.3000000000000009E-2</c:v>
                </c:pt>
                <c:pt idx="5">
                  <c:v>5.0000000000000017E-2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1D-4798-96E1-9E87CD8BB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73664"/>
        <c:axId val="67632896"/>
      </c:lineChart>
      <c:catAx>
        <c:axId val="5707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632896"/>
        <c:crosses val="autoZero"/>
        <c:auto val="1"/>
        <c:lblAlgn val="ctr"/>
        <c:lblOffset val="100"/>
        <c:noMultiLvlLbl val="0"/>
      </c:catAx>
      <c:valAx>
        <c:axId val="6763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07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手法</a:t>
            </a:r>
            <a:r>
              <a:rPr lang="en-US" altLang="ja-JP"/>
              <a:t>1</a:t>
            </a:r>
            <a:r>
              <a:rPr lang="ja-JP" altLang="en-US"/>
              <a:t>，</a:t>
            </a:r>
            <a:r>
              <a:rPr lang="en-US" altLang="ja-JP"/>
              <a:t>2</a:t>
            </a:r>
            <a:r>
              <a:rPr lang="ja-JP" altLang="en-US"/>
              <a:t>，推定電力の</a:t>
            </a:r>
            <a:r>
              <a:rPr lang="en-US" altLang="ja-JP"/>
              <a:t>3</a:t>
            </a:r>
            <a:r>
              <a:rPr lang="ja-JP" altLang="en-US"/>
              <a:t>者比較 散布図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電力データ_0610以降_100N!$W$98</c:f>
              <c:strCache>
                <c:ptCount val="1"/>
                <c:pt idx="0">
                  <c:v>Plan.1 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電力データ_0610以降_100N!$V$99:$V$113</c:f>
              <c:numCache>
                <c:formatCode>#,##0</c:formatCode>
                <c:ptCount val="15"/>
                <c:pt idx="0">
                  <c:v>3775</c:v>
                </c:pt>
                <c:pt idx="1">
                  <c:v>8042</c:v>
                </c:pt>
                <c:pt idx="2">
                  <c:v>17660</c:v>
                </c:pt>
                <c:pt idx="3">
                  <c:v>23794</c:v>
                </c:pt>
                <c:pt idx="4">
                  <c:v>26971</c:v>
                </c:pt>
                <c:pt idx="5">
                  <c:v>4267</c:v>
                </c:pt>
                <c:pt idx="6">
                  <c:v>13885</c:v>
                </c:pt>
                <c:pt idx="7">
                  <c:v>20019</c:v>
                </c:pt>
                <c:pt idx="8">
                  <c:v>23196</c:v>
                </c:pt>
                <c:pt idx="9">
                  <c:v>9618</c:v>
                </c:pt>
                <c:pt idx="10">
                  <c:v>15752</c:v>
                </c:pt>
                <c:pt idx="11">
                  <c:v>18929</c:v>
                </c:pt>
                <c:pt idx="12">
                  <c:v>6134</c:v>
                </c:pt>
                <c:pt idx="13">
                  <c:v>9311</c:v>
                </c:pt>
                <c:pt idx="14">
                  <c:v>3177</c:v>
                </c:pt>
              </c:numCache>
            </c:numRef>
          </c:xVal>
          <c:yVal>
            <c:numRef>
              <c:f>電力データ_0610以降_100N!$W$99:$W$113</c:f>
              <c:numCache>
                <c:formatCode>0.0000</c:formatCode>
                <c:ptCount val="15"/>
                <c:pt idx="0">
                  <c:v>8.0112903225806997E-2</c:v>
                </c:pt>
                <c:pt idx="1">
                  <c:v>0.170548387096775</c:v>
                </c:pt>
                <c:pt idx="2">
                  <c:v>0.25758064516129053</c:v>
                </c:pt>
                <c:pt idx="3">
                  <c:v>0.30161290322580769</c:v>
                </c:pt>
                <c:pt idx="4">
                  <c:v>0.33932258064516141</c:v>
                </c:pt>
                <c:pt idx="5">
                  <c:v>9.0435483870968003E-2</c:v>
                </c:pt>
                <c:pt idx="6">
                  <c:v>0.17746774193548354</c:v>
                </c:pt>
                <c:pt idx="7">
                  <c:v>0.2215000000000007</c:v>
                </c:pt>
                <c:pt idx="8">
                  <c:v>0.25920967741935441</c:v>
                </c:pt>
                <c:pt idx="9">
                  <c:v>8.7032258064515533E-2</c:v>
                </c:pt>
                <c:pt idx="10">
                  <c:v>0.13106451612903269</c:v>
                </c:pt>
                <c:pt idx="11">
                  <c:v>0.16877419354838641</c:v>
                </c:pt>
                <c:pt idx="12">
                  <c:v>4.403225806451716E-2</c:v>
                </c:pt>
                <c:pt idx="13">
                  <c:v>8.1741935483870876E-2</c:v>
                </c:pt>
                <c:pt idx="14">
                  <c:v>3.7709677419353715E-2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03-4676-8BA9-CEB6A52D478D}"/>
            </c:ext>
          </c:extLst>
        </c:ser>
        <c:ser>
          <c:idx val="1"/>
          <c:order val="1"/>
          <c:tx>
            <c:strRef>
              <c:f>電力データ_0610以降_100N!$X$98</c:f>
              <c:strCache>
                <c:ptCount val="1"/>
                <c:pt idx="0">
                  <c:v>Plan.2 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電力データ_0610以降_100N!$V$99:$V$113</c:f>
              <c:numCache>
                <c:formatCode>#,##0</c:formatCode>
                <c:ptCount val="15"/>
                <c:pt idx="0">
                  <c:v>3775</c:v>
                </c:pt>
                <c:pt idx="1">
                  <c:v>8042</c:v>
                </c:pt>
                <c:pt idx="2">
                  <c:v>17660</c:v>
                </c:pt>
                <c:pt idx="3">
                  <c:v>23794</c:v>
                </c:pt>
                <c:pt idx="4">
                  <c:v>26971</c:v>
                </c:pt>
                <c:pt idx="5">
                  <c:v>4267</c:v>
                </c:pt>
                <c:pt idx="6">
                  <c:v>13885</c:v>
                </c:pt>
                <c:pt idx="7">
                  <c:v>20019</c:v>
                </c:pt>
                <c:pt idx="8">
                  <c:v>23196</c:v>
                </c:pt>
                <c:pt idx="9">
                  <c:v>9618</c:v>
                </c:pt>
                <c:pt idx="10">
                  <c:v>15752</c:v>
                </c:pt>
                <c:pt idx="11">
                  <c:v>18929</c:v>
                </c:pt>
                <c:pt idx="12">
                  <c:v>6134</c:v>
                </c:pt>
                <c:pt idx="13">
                  <c:v>9311</c:v>
                </c:pt>
                <c:pt idx="14">
                  <c:v>3177</c:v>
                </c:pt>
              </c:numCache>
            </c:numRef>
          </c:xVal>
          <c:yVal>
            <c:numRef>
              <c:f>電力データ_0610以降_100N!$X$99:$X$113</c:f>
              <c:numCache>
                <c:formatCode>General</c:formatCode>
                <c:ptCount val="15"/>
                <c:pt idx="0">
                  <c:v>7.7290322580645832E-2</c:v>
                </c:pt>
                <c:pt idx="1">
                  <c:v>0.16769354838709782</c:v>
                </c:pt>
                <c:pt idx="2">
                  <c:v>0.25366129032258078</c:v>
                </c:pt>
                <c:pt idx="3">
                  <c:v>0.29485483870967943</c:v>
                </c:pt>
                <c:pt idx="4">
                  <c:v>0.33369354838709664</c:v>
                </c:pt>
                <c:pt idx="5">
                  <c:v>9.0403225806451992E-2</c:v>
                </c:pt>
                <c:pt idx="6">
                  <c:v>0.17637096774193495</c:v>
                </c:pt>
                <c:pt idx="7">
                  <c:v>0.2175645161290336</c:v>
                </c:pt>
                <c:pt idx="8">
                  <c:v>0.25640322580645081</c:v>
                </c:pt>
                <c:pt idx="9">
                  <c:v>8.5967741935482955E-2</c:v>
                </c:pt>
                <c:pt idx="10">
                  <c:v>0.12716129032258161</c:v>
                </c:pt>
                <c:pt idx="11">
                  <c:v>0.16599999999999882</c:v>
                </c:pt>
                <c:pt idx="12">
                  <c:v>4.1193548387098655E-2</c:v>
                </c:pt>
                <c:pt idx="13">
                  <c:v>8.003225806451586E-2</c:v>
                </c:pt>
                <c:pt idx="14">
                  <c:v>3.8838709677417205E-2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03-4676-8BA9-CEB6A52D478D}"/>
            </c:ext>
          </c:extLst>
        </c:ser>
        <c:ser>
          <c:idx val="2"/>
          <c:order val="2"/>
          <c:tx>
            <c:strRef>
              <c:f>電力データ_0610以降_100N!$Y$98</c:f>
              <c:strCache>
                <c:ptCount val="1"/>
                <c:pt idx="0">
                  <c:v>Estimation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7FC3D09-D8A3-4649-8CFE-CC567A1AEAF6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C03-4676-8BA9-CEB6A52D478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4F15FBC-A18F-4306-9F99-6A3934B3B1D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C03-4676-8BA9-CEB6A52D478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AD4C8E0-6FAE-4AA4-BF4A-BA00EE838E6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C03-4676-8BA9-CEB6A52D478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661812D-8558-4CFA-80DA-B64CE386061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C03-4676-8BA9-CEB6A52D478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4D06DF4-E30B-4ED0-9563-AEDCCB82CBC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C03-4676-8BA9-CEB6A52D478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00D1F43-9AEB-4FFD-B6A8-6545F015989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C03-4676-8BA9-CEB6A52D478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A5ABE73-61BF-4D28-A59C-B54362E73A1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C03-4676-8BA9-CEB6A52D478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DDECA6B-258A-4AC5-896B-0E53D6E1B88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C03-4676-8BA9-CEB6A52D478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39FF9A3-E1DC-4417-9F63-A782F2EE1A1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C03-4676-8BA9-CEB6A52D478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37A4CB1-1327-4E7B-BFCE-EBB29D32B36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C03-4676-8BA9-CEB6A52D478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950B9AC-3128-4ACD-8580-B01CBFBC0AA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C03-4676-8BA9-CEB6A52D478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6902F9B-D878-466C-8F33-2B7E0FD874C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C03-4676-8BA9-CEB6A52D478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C5556D4-7CA9-41BD-A2FF-D3197111642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C03-4676-8BA9-CEB6A52D478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D869111-1D8F-49C9-90F9-79E49F20B50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C03-4676-8BA9-CEB6A52D478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5BA295F-E326-4393-A362-EA2B34290B2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C03-4676-8BA9-CEB6A52D47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電力データ_0610以降_100N!$V$99:$V$113</c:f>
              <c:numCache>
                <c:formatCode>#,##0</c:formatCode>
                <c:ptCount val="15"/>
                <c:pt idx="0">
                  <c:v>3775</c:v>
                </c:pt>
                <c:pt idx="1">
                  <c:v>8042</c:v>
                </c:pt>
                <c:pt idx="2">
                  <c:v>17660</c:v>
                </c:pt>
                <c:pt idx="3">
                  <c:v>23794</c:v>
                </c:pt>
                <c:pt idx="4">
                  <c:v>26971</c:v>
                </c:pt>
                <c:pt idx="5">
                  <c:v>4267</c:v>
                </c:pt>
                <c:pt idx="6">
                  <c:v>13885</c:v>
                </c:pt>
                <c:pt idx="7">
                  <c:v>20019</c:v>
                </c:pt>
                <c:pt idx="8">
                  <c:v>23196</c:v>
                </c:pt>
                <c:pt idx="9">
                  <c:v>9618</c:v>
                </c:pt>
                <c:pt idx="10">
                  <c:v>15752</c:v>
                </c:pt>
                <c:pt idx="11">
                  <c:v>18929</c:v>
                </c:pt>
                <c:pt idx="12">
                  <c:v>6134</c:v>
                </c:pt>
                <c:pt idx="13">
                  <c:v>9311</c:v>
                </c:pt>
                <c:pt idx="14">
                  <c:v>3177</c:v>
                </c:pt>
              </c:numCache>
            </c:numRef>
          </c:xVal>
          <c:yVal>
            <c:numRef>
              <c:f>電力データ_0610以降_100N!$Y$99:$Y$113</c:f>
              <c:numCache>
                <c:formatCode>General</c:formatCode>
                <c:ptCount val="15"/>
                <c:pt idx="0">
                  <c:v>7.6000000000000012E-2</c:v>
                </c:pt>
                <c:pt idx="1">
                  <c:v>0.17400000000000004</c:v>
                </c:pt>
                <c:pt idx="2">
                  <c:v>0.27200000000000002</c:v>
                </c:pt>
                <c:pt idx="3">
                  <c:v>0.32200000000000006</c:v>
                </c:pt>
                <c:pt idx="4">
                  <c:v>0.34500000000000003</c:v>
                </c:pt>
                <c:pt idx="5">
                  <c:v>9.8000000000000032E-2</c:v>
                </c:pt>
                <c:pt idx="6">
                  <c:v>0.19600000000000001</c:v>
                </c:pt>
                <c:pt idx="7">
                  <c:v>0.24600000000000002</c:v>
                </c:pt>
                <c:pt idx="8">
                  <c:v>0.26900000000000002</c:v>
                </c:pt>
                <c:pt idx="9">
                  <c:v>9.7999999999999976E-2</c:v>
                </c:pt>
                <c:pt idx="10">
                  <c:v>0.14799999999999999</c:v>
                </c:pt>
                <c:pt idx="11">
                  <c:v>0.17099999999999999</c:v>
                </c:pt>
                <c:pt idx="12">
                  <c:v>5.0000000000000017E-2</c:v>
                </c:pt>
                <c:pt idx="13">
                  <c:v>7.3000000000000009E-2</c:v>
                </c:pt>
                <c:pt idx="14">
                  <c:v>2.2999999999999993E-2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電力データ_0610以降_100N!$U$99:$U$113</c15:f>
                <c15:dlblRangeCache>
                  <c:ptCount val="15"/>
                  <c:pt idx="0">
                    <c:v>16M-12M</c:v>
                  </c:pt>
                  <c:pt idx="1">
                    <c:v>16M-8M</c:v>
                  </c:pt>
                  <c:pt idx="2">
                    <c:v>16M-4M</c:v>
                  </c:pt>
                  <c:pt idx="3">
                    <c:v>16M-2M</c:v>
                  </c:pt>
                  <c:pt idx="4">
                    <c:v>16M-1M</c:v>
                  </c:pt>
                  <c:pt idx="5">
                    <c:v>12M -8M</c:v>
                  </c:pt>
                  <c:pt idx="6">
                    <c:v>12M-4M</c:v>
                  </c:pt>
                  <c:pt idx="7">
                    <c:v>12M-2M</c:v>
                  </c:pt>
                  <c:pt idx="8">
                    <c:v>12M-1M</c:v>
                  </c:pt>
                  <c:pt idx="9">
                    <c:v>8M-4M</c:v>
                  </c:pt>
                  <c:pt idx="10">
                    <c:v>8M-2M</c:v>
                  </c:pt>
                  <c:pt idx="11">
                    <c:v>8M-1M</c:v>
                  </c:pt>
                  <c:pt idx="12">
                    <c:v>4M-2M</c:v>
                  </c:pt>
                  <c:pt idx="13">
                    <c:v>4M-1M</c:v>
                  </c:pt>
                  <c:pt idx="14">
                    <c:v>2M-1M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9C03-4676-8BA9-CEB6A52D4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062176"/>
        <c:axId val="180800576"/>
      </c:scatterChart>
      <c:valAx>
        <c:axId val="19106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LUT</a:t>
                </a:r>
                <a:r>
                  <a:rPr lang="ja-JP" altLang="en-US"/>
                  <a:t>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800576"/>
        <c:crosses val="autoZero"/>
        <c:crossBetween val="midCat"/>
      </c:valAx>
      <c:valAx>
        <c:axId val="18080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</a:t>
                </a:r>
                <a:r>
                  <a:rPr lang="en-US" altLang="ja-JP"/>
                  <a:t>[W]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1062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400" b="0" i="0" u="none" strike="noStrike" baseline="0">
                <a:effectLst/>
              </a:rPr>
              <a:t>手法</a:t>
            </a:r>
            <a:r>
              <a:rPr lang="en-US" altLang="ja-JP" sz="1400" b="0" i="0" u="none" strike="noStrike" baseline="0">
                <a:effectLst/>
              </a:rPr>
              <a:t>1</a:t>
            </a:r>
            <a:r>
              <a:rPr lang="ja-JP" altLang="ja-JP" sz="1400" b="0" i="0" u="none" strike="noStrike" baseline="0">
                <a:effectLst/>
              </a:rPr>
              <a:t>，</a:t>
            </a:r>
            <a:r>
              <a:rPr lang="en-US" altLang="ja-JP" sz="1400" b="0" i="0" u="none" strike="noStrike" baseline="0">
                <a:effectLst/>
              </a:rPr>
              <a:t>2</a:t>
            </a:r>
            <a:r>
              <a:rPr lang="ja-JP" altLang="ja-JP" sz="1400" b="0" i="0" u="none" strike="noStrike" baseline="0">
                <a:effectLst/>
              </a:rPr>
              <a:t>，推定電力の</a:t>
            </a:r>
            <a:r>
              <a:rPr lang="en-US" altLang="ja-JP" sz="1400" b="0" i="0" u="none" strike="noStrike" baseline="0">
                <a:effectLst/>
              </a:rPr>
              <a:t>3</a:t>
            </a:r>
            <a:r>
              <a:rPr lang="ja-JP" altLang="ja-JP" sz="1400" b="0" i="0" u="none" strike="noStrike" baseline="0">
                <a:effectLst/>
              </a:rPr>
              <a:t>者比較 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電力データ_0610以降_100N!$V$98</c:f>
              <c:strCache>
                <c:ptCount val="1"/>
                <c:pt idx="0">
                  <c:v>LUT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電力データ_0610以降_100N!$U$99:$U$113</c:f>
              <c:strCache>
                <c:ptCount val="15"/>
                <c:pt idx="0">
                  <c:v>16M-12M</c:v>
                </c:pt>
                <c:pt idx="1">
                  <c:v>16M-8M</c:v>
                </c:pt>
                <c:pt idx="2">
                  <c:v>16M-4M</c:v>
                </c:pt>
                <c:pt idx="3">
                  <c:v>16M-2M</c:v>
                </c:pt>
                <c:pt idx="4">
                  <c:v>16M-1M</c:v>
                </c:pt>
                <c:pt idx="5">
                  <c:v>12M -8M</c:v>
                </c:pt>
                <c:pt idx="6">
                  <c:v>12M-4M</c:v>
                </c:pt>
                <c:pt idx="7">
                  <c:v>12M-2M</c:v>
                </c:pt>
                <c:pt idx="8">
                  <c:v>12M-1M</c:v>
                </c:pt>
                <c:pt idx="9">
                  <c:v>8M-4M</c:v>
                </c:pt>
                <c:pt idx="10">
                  <c:v>8M-2M</c:v>
                </c:pt>
                <c:pt idx="11">
                  <c:v>8M-1M</c:v>
                </c:pt>
                <c:pt idx="12">
                  <c:v>4M-2M</c:v>
                </c:pt>
                <c:pt idx="13">
                  <c:v>4M-1M</c:v>
                </c:pt>
                <c:pt idx="14">
                  <c:v>2M-1M</c:v>
                </c:pt>
              </c:strCache>
            </c:strRef>
          </c:cat>
          <c:val>
            <c:numRef>
              <c:f>電力データ_0610以降_100N!$V$99:$V$113</c:f>
              <c:numCache>
                <c:formatCode>#,##0</c:formatCode>
                <c:ptCount val="15"/>
                <c:pt idx="0">
                  <c:v>3775</c:v>
                </c:pt>
                <c:pt idx="1">
                  <c:v>8042</c:v>
                </c:pt>
                <c:pt idx="2">
                  <c:v>17660</c:v>
                </c:pt>
                <c:pt idx="3">
                  <c:v>23794</c:v>
                </c:pt>
                <c:pt idx="4">
                  <c:v>26971</c:v>
                </c:pt>
                <c:pt idx="5">
                  <c:v>4267</c:v>
                </c:pt>
                <c:pt idx="6">
                  <c:v>13885</c:v>
                </c:pt>
                <c:pt idx="7">
                  <c:v>20019</c:v>
                </c:pt>
                <c:pt idx="8">
                  <c:v>23196</c:v>
                </c:pt>
                <c:pt idx="9">
                  <c:v>9618</c:v>
                </c:pt>
                <c:pt idx="10">
                  <c:v>15752</c:v>
                </c:pt>
                <c:pt idx="11">
                  <c:v>18929</c:v>
                </c:pt>
                <c:pt idx="12">
                  <c:v>6134</c:v>
                </c:pt>
                <c:pt idx="13">
                  <c:v>9311</c:v>
                </c:pt>
                <c:pt idx="14">
                  <c:v>3177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2-480A-9E65-764F34CC3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882688"/>
        <c:axId val="2030561216"/>
      </c:barChart>
      <c:scatterChart>
        <c:scatterStyle val="lineMarker"/>
        <c:varyColors val="0"/>
        <c:ser>
          <c:idx val="1"/>
          <c:order val="1"/>
          <c:tx>
            <c:strRef>
              <c:f>電力データ_0610以降_100N!$W$98</c:f>
              <c:strCache>
                <c:ptCount val="1"/>
                <c:pt idx="0">
                  <c:v>Plan.1 Power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電力データ_0610以降_100N!$U$99:$U$113</c:f>
              <c:strCache>
                <c:ptCount val="15"/>
                <c:pt idx="0">
                  <c:v>16M-12M</c:v>
                </c:pt>
                <c:pt idx="1">
                  <c:v>16M-8M</c:v>
                </c:pt>
                <c:pt idx="2">
                  <c:v>16M-4M</c:v>
                </c:pt>
                <c:pt idx="3">
                  <c:v>16M-2M</c:v>
                </c:pt>
                <c:pt idx="4">
                  <c:v>16M-1M</c:v>
                </c:pt>
                <c:pt idx="5">
                  <c:v>12M -8M</c:v>
                </c:pt>
                <c:pt idx="6">
                  <c:v>12M-4M</c:v>
                </c:pt>
                <c:pt idx="7">
                  <c:v>12M-2M</c:v>
                </c:pt>
                <c:pt idx="8">
                  <c:v>12M-1M</c:v>
                </c:pt>
                <c:pt idx="9">
                  <c:v>8M-4M</c:v>
                </c:pt>
                <c:pt idx="10">
                  <c:v>8M-2M</c:v>
                </c:pt>
                <c:pt idx="11">
                  <c:v>8M-1M</c:v>
                </c:pt>
                <c:pt idx="12">
                  <c:v>4M-2M</c:v>
                </c:pt>
                <c:pt idx="13">
                  <c:v>4M-1M</c:v>
                </c:pt>
                <c:pt idx="14">
                  <c:v>2M-1M</c:v>
                </c:pt>
              </c:strCache>
            </c:strRef>
          </c:xVal>
          <c:yVal>
            <c:numRef>
              <c:f>電力データ_0610以降_100N!$W$99:$W$113</c:f>
              <c:numCache>
                <c:formatCode>0.0000</c:formatCode>
                <c:ptCount val="15"/>
                <c:pt idx="0">
                  <c:v>8.0112903225806997E-2</c:v>
                </c:pt>
                <c:pt idx="1">
                  <c:v>0.170548387096775</c:v>
                </c:pt>
                <c:pt idx="2">
                  <c:v>0.25758064516129053</c:v>
                </c:pt>
                <c:pt idx="3">
                  <c:v>0.30161290322580769</c:v>
                </c:pt>
                <c:pt idx="4">
                  <c:v>0.33932258064516141</c:v>
                </c:pt>
                <c:pt idx="5">
                  <c:v>9.0435483870968003E-2</c:v>
                </c:pt>
                <c:pt idx="6">
                  <c:v>0.17746774193548354</c:v>
                </c:pt>
                <c:pt idx="7">
                  <c:v>0.2215000000000007</c:v>
                </c:pt>
                <c:pt idx="8">
                  <c:v>0.25920967741935441</c:v>
                </c:pt>
                <c:pt idx="9">
                  <c:v>8.7032258064515533E-2</c:v>
                </c:pt>
                <c:pt idx="10">
                  <c:v>0.13106451612903269</c:v>
                </c:pt>
                <c:pt idx="11">
                  <c:v>0.16877419354838641</c:v>
                </c:pt>
                <c:pt idx="12">
                  <c:v>4.403225806451716E-2</c:v>
                </c:pt>
                <c:pt idx="13">
                  <c:v>8.1741935483870876E-2</c:v>
                </c:pt>
                <c:pt idx="14">
                  <c:v>3.7709677419353715E-2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D2-480A-9E65-764F34CC3F92}"/>
            </c:ext>
          </c:extLst>
        </c:ser>
        <c:ser>
          <c:idx val="2"/>
          <c:order val="2"/>
          <c:tx>
            <c:strRef>
              <c:f>電力データ_0610以降_100N!$X$98</c:f>
              <c:strCache>
                <c:ptCount val="1"/>
                <c:pt idx="0">
                  <c:v>Plan.2 Power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電力データ_0610以降_100N!$U$99:$U$113</c:f>
              <c:strCache>
                <c:ptCount val="15"/>
                <c:pt idx="0">
                  <c:v>16M-12M</c:v>
                </c:pt>
                <c:pt idx="1">
                  <c:v>16M-8M</c:v>
                </c:pt>
                <c:pt idx="2">
                  <c:v>16M-4M</c:v>
                </c:pt>
                <c:pt idx="3">
                  <c:v>16M-2M</c:v>
                </c:pt>
                <c:pt idx="4">
                  <c:v>16M-1M</c:v>
                </c:pt>
                <c:pt idx="5">
                  <c:v>12M -8M</c:v>
                </c:pt>
                <c:pt idx="6">
                  <c:v>12M-4M</c:v>
                </c:pt>
                <c:pt idx="7">
                  <c:v>12M-2M</c:v>
                </c:pt>
                <c:pt idx="8">
                  <c:v>12M-1M</c:v>
                </c:pt>
                <c:pt idx="9">
                  <c:v>8M-4M</c:v>
                </c:pt>
                <c:pt idx="10">
                  <c:v>8M-2M</c:v>
                </c:pt>
                <c:pt idx="11">
                  <c:v>8M-1M</c:v>
                </c:pt>
                <c:pt idx="12">
                  <c:v>4M-2M</c:v>
                </c:pt>
                <c:pt idx="13">
                  <c:v>4M-1M</c:v>
                </c:pt>
                <c:pt idx="14">
                  <c:v>2M-1M</c:v>
                </c:pt>
              </c:strCache>
            </c:strRef>
          </c:xVal>
          <c:yVal>
            <c:numRef>
              <c:f>電力データ_0610以降_100N!$X$99:$X$113</c:f>
              <c:numCache>
                <c:formatCode>General</c:formatCode>
                <c:ptCount val="15"/>
                <c:pt idx="0">
                  <c:v>7.7290322580645832E-2</c:v>
                </c:pt>
                <c:pt idx="1">
                  <c:v>0.16769354838709782</c:v>
                </c:pt>
                <c:pt idx="2">
                  <c:v>0.25366129032258078</c:v>
                </c:pt>
                <c:pt idx="3">
                  <c:v>0.29485483870967943</c:v>
                </c:pt>
                <c:pt idx="4">
                  <c:v>0.33369354838709664</c:v>
                </c:pt>
                <c:pt idx="5">
                  <c:v>9.0403225806451992E-2</c:v>
                </c:pt>
                <c:pt idx="6">
                  <c:v>0.17637096774193495</c:v>
                </c:pt>
                <c:pt idx="7">
                  <c:v>0.2175645161290336</c:v>
                </c:pt>
                <c:pt idx="8">
                  <c:v>0.25640322580645081</c:v>
                </c:pt>
                <c:pt idx="9">
                  <c:v>8.5967741935482955E-2</c:v>
                </c:pt>
                <c:pt idx="10">
                  <c:v>0.12716129032258161</c:v>
                </c:pt>
                <c:pt idx="11">
                  <c:v>0.16599999999999882</c:v>
                </c:pt>
                <c:pt idx="12">
                  <c:v>4.1193548387098655E-2</c:v>
                </c:pt>
                <c:pt idx="13">
                  <c:v>8.003225806451586E-2</c:v>
                </c:pt>
                <c:pt idx="14">
                  <c:v>3.8838709677417205E-2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D2-480A-9E65-764F34CC3F92}"/>
            </c:ext>
          </c:extLst>
        </c:ser>
        <c:ser>
          <c:idx val="3"/>
          <c:order val="3"/>
          <c:tx>
            <c:strRef>
              <c:f>電力データ_0610以降_100N!$Y$98</c:f>
              <c:strCache>
                <c:ptCount val="1"/>
                <c:pt idx="0">
                  <c:v>Estimation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電力データ_0610以降_100N!$U$99:$U$113</c:f>
              <c:strCache>
                <c:ptCount val="15"/>
                <c:pt idx="0">
                  <c:v>16M-12M</c:v>
                </c:pt>
                <c:pt idx="1">
                  <c:v>16M-8M</c:v>
                </c:pt>
                <c:pt idx="2">
                  <c:v>16M-4M</c:v>
                </c:pt>
                <c:pt idx="3">
                  <c:v>16M-2M</c:v>
                </c:pt>
                <c:pt idx="4">
                  <c:v>16M-1M</c:v>
                </c:pt>
                <c:pt idx="5">
                  <c:v>12M -8M</c:v>
                </c:pt>
                <c:pt idx="6">
                  <c:v>12M-4M</c:v>
                </c:pt>
                <c:pt idx="7">
                  <c:v>12M-2M</c:v>
                </c:pt>
                <c:pt idx="8">
                  <c:v>12M-1M</c:v>
                </c:pt>
                <c:pt idx="9">
                  <c:v>8M-4M</c:v>
                </c:pt>
                <c:pt idx="10">
                  <c:v>8M-2M</c:v>
                </c:pt>
                <c:pt idx="11">
                  <c:v>8M-1M</c:v>
                </c:pt>
                <c:pt idx="12">
                  <c:v>4M-2M</c:v>
                </c:pt>
                <c:pt idx="13">
                  <c:v>4M-1M</c:v>
                </c:pt>
                <c:pt idx="14">
                  <c:v>2M-1M</c:v>
                </c:pt>
              </c:strCache>
            </c:strRef>
          </c:xVal>
          <c:yVal>
            <c:numRef>
              <c:f>電力データ_0610以降_100N!$Y$99:$Y$113</c:f>
              <c:numCache>
                <c:formatCode>General</c:formatCode>
                <c:ptCount val="15"/>
                <c:pt idx="0">
                  <c:v>7.6000000000000012E-2</c:v>
                </c:pt>
                <c:pt idx="1">
                  <c:v>0.17400000000000004</c:v>
                </c:pt>
                <c:pt idx="2">
                  <c:v>0.27200000000000002</c:v>
                </c:pt>
                <c:pt idx="3">
                  <c:v>0.32200000000000006</c:v>
                </c:pt>
                <c:pt idx="4">
                  <c:v>0.34500000000000003</c:v>
                </c:pt>
                <c:pt idx="5">
                  <c:v>9.8000000000000032E-2</c:v>
                </c:pt>
                <c:pt idx="6">
                  <c:v>0.19600000000000001</c:v>
                </c:pt>
                <c:pt idx="7">
                  <c:v>0.24600000000000002</c:v>
                </c:pt>
                <c:pt idx="8">
                  <c:v>0.26900000000000002</c:v>
                </c:pt>
                <c:pt idx="9">
                  <c:v>9.7999999999999976E-2</c:v>
                </c:pt>
                <c:pt idx="10">
                  <c:v>0.14799999999999999</c:v>
                </c:pt>
                <c:pt idx="11">
                  <c:v>0.17099999999999999</c:v>
                </c:pt>
                <c:pt idx="12">
                  <c:v>5.0000000000000017E-2</c:v>
                </c:pt>
                <c:pt idx="13">
                  <c:v>7.3000000000000009E-2</c:v>
                </c:pt>
                <c:pt idx="14">
                  <c:v>2.2999999999999993E-2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D2-480A-9E65-764F34CC3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559968"/>
        <c:axId val="2030558304"/>
      </c:scatterChart>
      <c:catAx>
        <c:axId val="56882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比較したテスト回路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0561216"/>
        <c:crosses val="autoZero"/>
        <c:auto val="1"/>
        <c:lblAlgn val="ctr"/>
        <c:lblOffset val="100"/>
        <c:noMultiLvlLbl val="0"/>
      </c:catAx>
      <c:valAx>
        <c:axId val="203056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LUT</a:t>
                </a:r>
                <a:r>
                  <a:rPr lang="ja-JP" altLang="en-US"/>
                  <a:t>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882688"/>
        <c:crosses val="autoZero"/>
        <c:crossBetween val="between"/>
      </c:valAx>
      <c:valAx>
        <c:axId val="2030558304"/>
        <c:scaling>
          <c:orientation val="minMax"/>
        </c:scaling>
        <c:delete val="0"/>
        <c:axPos val="r"/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</a:t>
                </a:r>
                <a:r>
                  <a:rPr lang="en-US" altLang="ja-JP"/>
                  <a:t>[W]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0559968"/>
        <c:crosses val="max"/>
        <c:crossBetween val="midCat"/>
      </c:valAx>
      <c:valAx>
        <c:axId val="2030559968"/>
        <c:scaling>
          <c:orientation val="minMax"/>
        </c:scaling>
        <c:delete val="1"/>
        <c:axPos val="t"/>
        <c:majorTickMark val="out"/>
        <c:minorTickMark val="none"/>
        <c:tickLblPos val="nextTo"/>
        <c:crossAx val="2030558304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実測から得た電力と実</a:t>
            </a:r>
            <a:r>
              <a:rPr lang="en-US" altLang="ja-JP"/>
              <a:t>LUT数</a:t>
            </a:r>
            <a:r>
              <a:rPr lang="ja-JP" altLang="en-US"/>
              <a:t>と想定</a:t>
            </a:r>
            <a:r>
              <a:rPr lang="en-US" altLang="ja-JP"/>
              <a:t>LUT</a:t>
            </a:r>
            <a:r>
              <a:rPr lang="ja-JP" altLang="en-US"/>
              <a:t>の比較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電力データ_0610以降_100N!$M$173</c:f>
              <c:strCache>
                <c:ptCount val="1"/>
                <c:pt idx="0">
                  <c:v>Implementation LUT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8C9760C-EB7A-4005-B980-674C64E2E557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5CC-4542-B0EA-315D0808E9B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798D3A0-1C49-4AA5-B78D-A05E71D84EA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5CC-4542-B0EA-315D0808E9B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EE44A76-0A69-413F-A79F-34B8BC26E7D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5CC-4542-B0EA-315D0808E9B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12F0CCC-58EF-423B-8C76-A240976033E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5CC-4542-B0EA-315D0808E9B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3F572C9-21AF-49EE-91B1-7D07E4C25E5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5CC-4542-B0EA-315D0808E9B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F6FA71E-8594-482A-A196-CBA0661B668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5CC-4542-B0EA-315D0808E9B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274CBCF-F964-4892-9FA7-DF62709BFA5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5CC-4542-B0EA-315D0808E9B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C500015-BEAB-472E-BBA3-43D2C998013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5CC-4542-B0EA-315D0808E9B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841C473-0967-4DD7-A783-9AAAB415BE5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5CC-4542-B0EA-315D0808E9B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7586C55-424C-4CF9-979C-5B5AE5EA8F6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5CC-4542-B0EA-315D0808E9B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5943777-A0A3-4A6E-BE18-D9E3FD4F7A0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5CC-4542-B0EA-315D0808E9B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33D0750-9A91-4918-AEEE-8FFBDAE39DD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5CC-4542-B0EA-315D0808E9B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DDD4A40-18BA-43DA-80BD-7A321586A04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5CC-4542-B0EA-315D0808E9B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2F06710-99E0-44B7-912D-304A14D332A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5CC-4542-B0EA-315D0808E9B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7D44B20-4FF2-48F9-8EED-FB9ED1D9ACA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5CC-4542-B0EA-315D0808E9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電力データ_0610以降_100N!$M$174:$M$188</c:f>
              <c:numCache>
                <c:formatCode>General</c:formatCode>
                <c:ptCount val="15"/>
                <c:pt idx="0">
                  <c:v>3775</c:v>
                </c:pt>
                <c:pt idx="1">
                  <c:v>8042</c:v>
                </c:pt>
                <c:pt idx="2">
                  <c:v>17660</c:v>
                </c:pt>
                <c:pt idx="3">
                  <c:v>23794</c:v>
                </c:pt>
                <c:pt idx="4">
                  <c:v>26971</c:v>
                </c:pt>
                <c:pt idx="5">
                  <c:v>4267</c:v>
                </c:pt>
                <c:pt idx="6">
                  <c:v>13885</c:v>
                </c:pt>
                <c:pt idx="7">
                  <c:v>20019</c:v>
                </c:pt>
                <c:pt idx="8">
                  <c:v>23196</c:v>
                </c:pt>
                <c:pt idx="9">
                  <c:v>9618</c:v>
                </c:pt>
                <c:pt idx="10">
                  <c:v>15752</c:v>
                </c:pt>
                <c:pt idx="11">
                  <c:v>18929</c:v>
                </c:pt>
                <c:pt idx="12">
                  <c:v>6134</c:v>
                </c:pt>
                <c:pt idx="13">
                  <c:v>9311</c:v>
                </c:pt>
                <c:pt idx="14">
                  <c:v>3177</c:v>
                </c:pt>
              </c:numCache>
            </c:numRef>
          </c:xVal>
          <c:yVal>
            <c:numRef>
              <c:f>電力データ_0610以降_100N!$L$174:$L$188</c:f>
              <c:numCache>
                <c:formatCode>General</c:formatCode>
                <c:ptCount val="15"/>
                <c:pt idx="0">
                  <c:v>7.6000000000000012E-2</c:v>
                </c:pt>
                <c:pt idx="1">
                  <c:v>0.17400000000000004</c:v>
                </c:pt>
                <c:pt idx="2">
                  <c:v>0.27200000000000002</c:v>
                </c:pt>
                <c:pt idx="3">
                  <c:v>0.32200000000000006</c:v>
                </c:pt>
                <c:pt idx="4">
                  <c:v>0.34500000000000003</c:v>
                </c:pt>
                <c:pt idx="5">
                  <c:v>9.8000000000000032E-2</c:v>
                </c:pt>
                <c:pt idx="6">
                  <c:v>0.19600000000000001</c:v>
                </c:pt>
                <c:pt idx="7">
                  <c:v>0.24600000000000002</c:v>
                </c:pt>
                <c:pt idx="8">
                  <c:v>0.26900000000000002</c:v>
                </c:pt>
                <c:pt idx="9">
                  <c:v>9.7999999999999976E-2</c:v>
                </c:pt>
                <c:pt idx="10">
                  <c:v>0.14799999999999999</c:v>
                </c:pt>
                <c:pt idx="11">
                  <c:v>0.17099999999999999</c:v>
                </c:pt>
                <c:pt idx="12">
                  <c:v>5.0000000000000017E-2</c:v>
                </c:pt>
                <c:pt idx="13">
                  <c:v>7.3000000000000009E-2</c:v>
                </c:pt>
                <c:pt idx="14">
                  <c:v>2.2999999999999993E-2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電力データ_0610以降_100N!$K$174:$K$188</c15:f>
                <c15:dlblRangeCache>
                  <c:ptCount val="15"/>
                  <c:pt idx="0">
                    <c:v>16M-12M</c:v>
                  </c:pt>
                  <c:pt idx="1">
                    <c:v>16M-8M</c:v>
                  </c:pt>
                  <c:pt idx="2">
                    <c:v>16M-4M</c:v>
                  </c:pt>
                  <c:pt idx="3">
                    <c:v>16M-2M</c:v>
                  </c:pt>
                  <c:pt idx="4">
                    <c:v>16M-1M</c:v>
                  </c:pt>
                  <c:pt idx="5">
                    <c:v>12M -8M</c:v>
                  </c:pt>
                  <c:pt idx="6">
                    <c:v>12M-4M</c:v>
                  </c:pt>
                  <c:pt idx="7">
                    <c:v>12M-2M</c:v>
                  </c:pt>
                  <c:pt idx="8">
                    <c:v>12M-1M</c:v>
                  </c:pt>
                  <c:pt idx="9">
                    <c:v>8M-4M</c:v>
                  </c:pt>
                  <c:pt idx="10">
                    <c:v>8M-2M</c:v>
                  </c:pt>
                  <c:pt idx="11">
                    <c:v>8M-1M</c:v>
                  </c:pt>
                  <c:pt idx="12">
                    <c:v>4M-2M</c:v>
                  </c:pt>
                  <c:pt idx="13">
                    <c:v>4M-1M</c:v>
                  </c:pt>
                  <c:pt idx="14">
                    <c:v>2M-1M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5CC-4542-B0EA-315D0808E9B3}"/>
            </c:ext>
          </c:extLst>
        </c:ser>
        <c:ser>
          <c:idx val="1"/>
          <c:order val="1"/>
          <c:tx>
            <c:strRef>
              <c:f>電力データ_0610以降_100N!$N$173</c:f>
              <c:strCache>
                <c:ptCount val="1"/>
                <c:pt idx="0">
                  <c:v>Assumption LUT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01B5F12-5AF5-4822-B8C4-3E014D669C61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85CC-4542-B0EA-315D0808E9B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C2A1081-6D50-4D50-BC59-FB34CC016E1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5CC-4542-B0EA-315D0808E9B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77E7B1B-88C1-4B32-BC50-7995CB4F9CE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5CC-4542-B0EA-315D0808E9B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94E9BEE-0336-40AB-AA79-55D5A401FDE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5CC-4542-B0EA-315D0808E9B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D6DC307-AE12-416A-AA08-3AD56B047FA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5CC-4542-B0EA-315D0808E9B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3EE2219-7133-444F-A6D6-8AF5A07651B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5CC-4542-B0EA-315D0808E9B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DE71DFE-749F-40BE-8EEC-99FA0197043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5CC-4542-B0EA-315D0808E9B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88DE9A7-3CF1-4050-B49C-6EBF07B03B0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5CC-4542-B0EA-315D0808E9B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EFBC163-78E4-440B-82F9-B1B758EEF40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5CC-4542-B0EA-315D0808E9B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6BFDFE3-39BA-4B9D-A57E-2E7FBA37A45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5CC-4542-B0EA-315D0808E9B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95999D7-6494-4FAF-BB16-33652C9EFFF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5CC-4542-B0EA-315D0808E9B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B234225-ECA6-434B-B70C-FED819688C3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5CC-4542-B0EA-315D0808E9B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0F13F2F-1066-4EA5-B2D3-E2BBCDAD6E2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5CC-4542-B0EA-315D0808E9B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A8E2EEF-41CF-467E-B27F-9861E377A5C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5CC-4542-B0EA-315D0808E9B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0BEFD39-9A65-4570-9AE0-98D4B25FA46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5CC-4542-B0EA-315D0808E9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電力データ_0610以降_100N!$N$174:$N$188</c:f>
              <c:numCache>
                <c:formatCode>General</c:formatCode>
                <c:ptCount val="15"/>
                <c:pt idx="0">
                  <c:v>12800</c:v>
                </c:pt>
                <c:pt idx="1">
                  <c:v>25600</c:v>
                </c:pt>
                <c:pt idx="2">
                  <c:v>38400</c:v>
                </c:pt>
                <c:pt idx="3">
                  <c:v>44800</c:v>
                </c:pt>
                <c:pt idx="4">
                  <c:v>48000</c:v>
                </c:pt>
                <c:pt idx="5">
                  <c:v>12800</c:v>
                </c:pt>
                <c:pt idx="6">
                  <c:v>25600</c:v>
                </c:pt>
                <c:pt idx="7">
                  <c:v>32000</c:v>
                </c:pt>
                <c:pt idx="8">
                  <c:v>35200</c:v>
                </c:pt>
                <c:pt idx="9">
                  <c:v>12800</c:v>
                </c:pt>
                <c:pt idx="10">
                  <c:v>19200</c:v>
                </c:pt>
                <c:pt idx="11">
                  <c:v>22400</c:v>
                </c:pt>
                <c:pt idx="12">
                  <c:v>6400</c:v>
                </c:pt>
                <c:pt idx="13">
                  <c:v>9600</c:v>
                </c:pt>
                <c:pt idx="14">
                  <c:v>3200</c:v>
                </c:pt>
              </c:numCache>
            </c:numRef>
          </c:xVal>
          <c:yVal>
            <c:numRef>
              <c:f>電力データ_0610以降_100N!$L$174:$L$188</c:f>
              <c:numCache>
                <c:formatCode>General</c:formatCode>
                <c:ptCount val="15"/>
                <c:pt idx="0">
                  <c:v>7.6000000000000012E-2</c:v>
                </c:pt>
                <c:pt idx="1">
                  <c:v>0.17400000000000004</c:v>
                </c:pt>
                <c:pt idx="2">
                  <c:v>0.27200000000000002</c:v>
                </c:pt>
                <c:pt idx="3">
                  <c:v>0.32200000000000006</c:v>
                </c:pt>
                <c:pt idx="4">
                  <c:v>0.34500000000000003</c:v>
                </c:pt>
                <c:pt idx="5">
                  <c:v>9.8000000000000032E-2</c:v>
                </c:pt>
                <c:pt idx="6">
                  <c:v>0.19600000000000001</c:v>
                </c:pt>
                <c:pt idx="7">
                  <c:v>0.24600000000000002</c:v>
                </c:pt>
                <c:pt idx="8">
                  <c:v>0.26900000000000002</c:v>
                </c:pt>
                <c:pt idx="9">
                  <c:v>9.7999999999999976E-2</c:v>
                </c:pt>
                <c:pt idx="10">
                  <c:v>0.14799999999999999</c:v>
                </c:pt>
                <c:pt idx="11">
                  <c:v>0.17099999999999999</c:v>
                </c:pt>
                <c:pt idx="12">
                  <c:v>5.0000000000000017E-2</c:v>
                </c:pt>
                <c:pt idx="13">
                  <c:v>7.3000000000000009E-2</c:v>
                </c:pt>
                <c:pt idx="14">
                  <c:v>2.2999999999999993E-2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電力データ_0610以降_100N!$K$174:$K$188</c15:f>
                <c15:dlblRangeCache>
                  <c:ptCount val="15"/>
                  <c:pt idx="0">
                    <c:v>16M-12M</c:v>
                  </c:pt>
                  <c:pt idx="1">
                    <c:v>16M-8M</c:v>
                  </c:pt>
                  <c:pt idx="2">
                    <c:v>16M-4M</c:v>
                  </c:pt>
                  <c:pt idx="3">
                    <c:v>16M-2M</c:v>
                  </c:pt>
                  <c:pt idx="4">
                    <c:v>16M-1M</c:v>
                  </c:pt>
                  <c:pt idx="5">
                    <c:v>12M -8M</c:v>
                  </c:pt>
                  <c:pt idx="6">
                    <c:v>12M-4M</c:v>
                  </c:pt>
                  <c:pt idx="7">
                    <c:v>12M-2M</c:v>
                  </c:pt>
                  <c:pt idx="8">
                    <c:v>12M-1M</c:v>
                  </c:pt>
                  <c:pt idx="9">
                    <c:v>8M-4M</c:v>
                  </c:pt>
                  <c:pt idx="10">
                    <c:v>8M-2M</c:v>
                  </c:pt>
                  <c:pt idx="11">
                    <c:v>8M-1M</c:v>
                  </c:pt>
                  <c:pt idx="12">
                    <c:v>4M-2M</c:v>
                  </c:pt>
                  <c:pt idx="13">
                    <c:v>4M-1M</c:v>
                  </c:pt>
                  <c:pt idx="14">
                    <c:v>2M-1M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85CC-4542-B0EA-315D0808E9B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98125215"/>
        <c:axId val="2111689471"/>
      </c:scatterChart>
      <c:valAx>
        <c:axId val="2098125215"/>
        <c:scaling>
          <c:orientation val="minMax"/>
          <c:max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LUT数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1689471"/>
        <c:crosses val="autoZero"/>
        <c:crossBetween val="midCat"/>
      </c:valAx>
      <c:valAx>
        <c:axId val="211168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電力［Ｗ］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98125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Implementation LUT</a:t>
            </a:r>
            <a:r>
              <a:rPr lang="ja-JP" altLang="en-US" baseline="0"/>
              <a:t> </a:t>
            </a:r>
            <a:r>
              <a:rPr lang="en-US" altLang="ja-JP" baseline="0"/>
              <a:t>vs </a:t>
            </a:r>
            <a:r>
              <a:rPr lang="en-US" altLang="ja-JP"/>
              <a:t>Assunption</a:t>
            </a:r>
            <a:r>
              <a:rPr lang="en-US" altLang="ja-JP" baseline="0"/>
              <a:t> </a:t>
            </a:r>
            <a:r>
              <a:rPr lang="en-US" altLang="ja-JP"/>
              <a:t>LUT</a:t>
            </a:r>
            <a:r>
              <a:rPr lang="ja-JP" altLang="en-US" baseline="0"/>
              <a:t> </a:t>
            </a:r>
            <a:r>
              <a:rPr lang="en-US" altLang="ja-JP" baseline="0"/>
              <a:t>vs Synthesis LUT</a:t>
            </a:r>
            <a:endParaRPr lang="ja-JP" altLang="en-US"/>
          </a:p>
        </c:rich>
      </c:tx>
      <c:layout>
        <c:manualLayout>
          <c:xMode val="edge"/>
          <c:yMode val="edge"/>
          <c:x val="0.18756692853057461"/>
          <c:y val="2.42398283700231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電力データ_0610以降_100N!$M$173</c:f>
              <c:strCache>
                <c:ptCount val="1"/>
                <c:pt idx="0">
                  <c:v>Implementation LUT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43BC7B7-5C1C-4FB3-899F-63511BC49336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580D-48ED-B83D-0B269FF92C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5D460B2-3B3B-4C9A-A57F-420FB4AB0EE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580D-48ED-B83D-0B269FF92CF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70832F6-2B9D-4C7D-8D78-6340AEB9C89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80D-48ED-B83D-0B269FF92CF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8A6CE5B-E9AB-4B0A-92E1-EC4FD38508B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580D-48ED-B83D-0B269FF92CF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3FF6FDE-FB92-4A2A-97CC-6BD2D2D99D6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580D-48ED-B83D-0B269FF92CF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C14C856-30FF-4AF1-8C89-35B1B305C51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580D-48ED-B83D-0B269FF92CF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C122ED2-9706-4EED-BA56-A70E93BEDD3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580D-48ED-B83D-0B269FF92CF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E5A44BE-9487-4F24-8E28-FDAAC3B6B31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580D-48ED-B83D-0B269FF92CF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A6C1364-C675-450B-A003-F4A6BD5A9FE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580D-48ED-B83D-0B269FF92CF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D3BE09F-4F3C-443E-8B2F-D08D2487EAA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580D-48ED-B83D-0B269FF92CF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50AF611-0B0F-48F1-B754-3CAD4533930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580D-48ED-B83D-0B269FF92CF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0BD19D0-6BC8-4760-A6DD-A00FEC2A10A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580D-48ED-B83D-0B269FF92CF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B5D5034-6E21-49BE-A8BF-E90C7F78E9E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580D-48ED-B83D-0B269FF92CF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401A58A-6E82-415C-84AE-75CB7FD1AB9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580D-48ED-B83D-0B269FF92CF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79B558B-D660-4085-9774-554E291E6DF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580D-48ED-B83D-0B269FF92C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電力データ_0610以降_100N!$M$174:$M$188</c:f>
              <c:numCache>
                <c:formatCode>General</c:formatCode>
                <c:ptCount val="15"/>
                <c:pt idx="0">
                  <c:v>3775</c:v>
                </c:pt>
                <c:pt idx="1">
                  <c:v>8042</c:v>
                </c:pt>
                <c:pt idx="2">
                  <c:v>17660</c:v>
                </c:pt>
                <c:pt idx="3">
                  <c:v>23794</c:v>
                </c:pt>
                <c:pt idx="4">
                  <c:v>26971</c:v>
                </c:pt>
                <c:pt idx="5">
                  <c:v>4267</c:v>
                </c:pt>
                <c:pt idx="6">
                  <c:v>13885</c:v>
                </c:pt>
                <c:pt idx="7">
                  <c:v>20019</c:v>
                </c:pt>
                <c:pt idx="8">
                  <c:v>23196</c:v>
                </c:pt>
                <c:pt idx="9">
                  <c:v>9618</c:v>
                </c:pt>
                <c:pt idx="10">
                  <c:v>15752</c:v>
                </c:pt>
                <c:pt idx="11">
                  <c:v>18929</c:v>
                </c:pt>
                <c:pt idx="12">
                  <c:v>6134</c:v>
                </c:pt>
                <c:pt idx="13">
                  <c:v>9311</c:v>
                </c:pt>
                <c:pt idx="14">
                  <c:v>3177</c:v>
                </c:pt>
              </c:numCache>
            </c:numRef>
          </c:xVal>
          <c:yVal>
            <c:numRef>
              <c:f>電力データ_0610以降_100N!$L$174:$L$188</c:f>
              <c:numCache>
                <c:formatCode>General</c:formatCode>
                <c:ptCount val="15"/>
                <c:pt idx="0">
                  <c:v>7.6000000000000012E-2</c:v>
                </c:pt>
                <c:pt idx="1">
                  <c:v>0.17400000000000004</c:v>
                </c:pt>
                <c:pt idx="2">
                  <c:v>0.27200000000000002</c:v>
                </c:pt>
                <c:pt idx="3">
                  <c:v>0.32200000000000006</c:v>
                </c:pt>
                <c:pt idx="4">
                  <c:v>0.34500000000000003</c:v>
                </c:pt>
                <c:pt idx="5">
                  <c:v>9.8000000000000032E-2</c:v>
                </c:pt>
                <c:pt idx="6">
                  <c:v>0.19600000000000001</c:v>
                </c:pt>
                <c:pt idx="7">
                  <c:v>0.24600000000000002</c:v>
                </c:pt>
                <c:pt idx="8">
                  <c:v>0.26900000000000002</c:v>
                </c:pt>
                <c:pt idx="9">
                  <c:v>9.7999999999999976E-2</c:v>
                </c:pt>
                <c:pt idx="10">
                  <c:v>0.14799999999999999</c:v>
                </c:pt>
                <c:pt idx="11">
                  <c:v>0.17099999999999999</c:v>
                </c:pt>
                <c:pt idx="12">
                  <c:v>5.0000000000000017E-2</c:v>
                </c:pt>
                <c:pt idx="13">
                  <c:v>7.3000000000000009E-2</c:v>
                </c:pt>
                <c:pt idx="14">
                  <c:v>2.2999999999999993E-2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電力データ_0610以降_100N!$K$174:$K$188</c15:f>
                <c15:dlblRangeCache>
                  <c:ptCount val="15"/>
                  <c:pt idx="0">
                    <c:v>16M-12M</c:v>
                  </c:pt>
                  <c:pt idx="1">
                    <c:v>16M-8M</c:v>
                  </c:pt>
                  <c:pt idx="2">
                    <c:v>16M-4M</c:v>
                  </c:pt>
                  <c:pt idx="3">
                    <c:v>16M-2M</c:v>
                  </c:pt>
                  <c:pt idx="4">
                    <c:v>16M-1M</c:v>
                  </c:pt>
                  <c:pt idx="5">
                    <c:v>12M -8M</c:v>
                  </c:pt>
                  <c:pt idx="6">
                    <c:v>12M-4M</c:v>
                  </c:pt>
                  <c:pt idx="7">
                    <c:v>12M-2M</c:v>
                  </c:pt>
                  <c:pt idx="8">
                    <c:v>12M-1M</c:v>
                  </c:pt>
                  <c:pt idx="9">
                    <c:v>8M-4M</c:v>
                  </c:pt>
                  <c:pt idx="10">
                    <c:v>8M-2M</c:v>
                  </c:pt>
                  <c:pt idx="11">
                    <c:v>8M-1M</c:v>
                  </c:pt>
                  <c:pt idx="12">
                    <c:v>4M-2M</c:v>
                  </c:pt>
                  <c:pt idx="13">
                    <c:v>4M-1M</c:v>
                  </c:pt>
                  <c:pt idx="14">
                    <c:v>2M-1M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80D-48ED-B83D-0B269FF92CF0}"/>
            </c:ext>
          </c:extLst>
        </c:ser>
        <c:ser>
          <c:idx val="1"/>
          <c:order val="1"/>
          <c:tx>
            <c:strRef>
              <c:f>電力データ_0610以降_100N!$N$173</c:f>
              <c:strCache>
                <c:ptCount val="1"/>
                <c:pt idx="0">
                  <c:v>Assumption LUT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D2094E8-A249-4DBE-90F1-B03528F6CF19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580D-48ED-B83D-0B269FF92C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0FBF07B-6C89-406B-BA5D-417B642647F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580D-48ED-B83D-0B269FF92CF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1C97564-A7D0-41CF-8A9A-9ADF6558996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580D-48ED-B83D-0B269FF92CF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28B85EB-743B-41E8-A797-367231A0B9C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580D-48ED-B83D-0B269FF92CF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004AC17-55CB-4EB2-A2E3-069830D6C5B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580D-48ED-B83D-0B269FF92CF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8F66238-89EA-44BB-942A-53F68D6890A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580D-48ED-B83D-0B269FF92CF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463C83A-2170-42AD-8BFE-C217A16BDA7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580D-48ED-B83D-0B269FF92CF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ED4DE6B-F04A-4C2F-9401-E31DB41ACB2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580D-48ED-B83D-0B269FF92CF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1A6AEC6-8ADE-4974-B5FF-EDB792CC606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580D-48ED-B83D-0B269FF92CF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EDC2234-9A92-42CF-9B39-819D120C779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580D-48ED-B83D-0B269FF92CF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35B97D4-61D8-4DCD-87FF-0FCBDDE81FC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580D-48ED-B83D-0B269FF92CF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6FB9296-8C87-4BB3-815F-737ADEF7707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580D-48ED-B83D-0B269FF92CF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FD0B471-F158-49AE-A291-E31A8C9D441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80D-48ED-B83D-0B269FF92CF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FA771F7-CA85-4856-81BD-E5429C08DE4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580D-48ED-B83D-0B269FF92CF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28A8A06-BC4F-4B9C-8AAA-8A664C4A548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80D-48ED-B83D-0B269FF92C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電力データ_0610以降_100N!$N$174:$N$188</c:f>
              <c:numCache>
                <c:formatCode>General</c:formatCode>
                <c:ptCount val="15"/>
                <c:pt idx="0">
                  <c:v>12800</c:v>
                </c:pt>
                <c:pt idx="1">
                  <c:v>25600</c:v>
                </c:pt>
                <c:pt idx="2">
                  <c:v>38400</c:v>
                </c:pt>
                <c:pt idx="3">
                  <c:v>44800</c:v>
                </c:pt>
                <c:pt idx="4">
                  <c:v>48000</c:v>
                </c:pt>
                <c:pt idx="5">
                  <c:v>12800</c:v>
                </c:pt>
                <c:pt idx="6">
                  <c:v>25600</c:v>
                </c:pt>
                <c:pt idx="7">
                  <c:v>32000</c:v>
                </c:pt>
                <c:pt idx="8">
                  <c:v>35200</c:v>
                </c:pt>
                <c:pt idx="9">
                  <c:v>12800</c:v>
                </c:pt>
                <c:pt idx="10">
                  <c:v>19200</c:v>
                </c:pt>
                <c:pt idx="11">
                  <c:v>22400</c:v>
                </c:pt>
                <c:pt idx="12">
                  <c:v>6400</c:v>
                </c:pt>
                <c:pt idx="13">
                  <c:v>9600</c:v>
                </c:pt>
                <c:pt idx="14">
                  <c:v>3200</c:v>
                </c:pt>
              </c:numCache>
            </c:numRef>
          </c:xVal>
          <c:yVal>
            <c:numRef>
              <c:f>電力データ_0610以降_100N!$L$174:$L$188</c:f>
              <c:numCache>
                <c:formatCode>General</c:formatCode>
                <c:ptCount val="15"/>
                <c:pt idx="0">
                  <c:v>7.6000000000000012E-2</c:v>
                </c:pt>
                <c:pt idx="1">
                  <c:v>0.17400000000000004</c:v>
                </c:pt>
                <c:pt idx="2">
                  <c:v>0.27200000000000002</c:v>
                </c:pt>
                <c:pt idx="3">
                  <c:v>0.32200000000000006</c:v>
                </c:pt>
                <c:pt idx="4">
                  <c:v>0.34500000000000003</c:v>
                </c:pt>
                <c:pt idx="5">
                  <c:v>9.8000000000000032E-2</c:v>
                </c:pt>
                <c:pt idx="6">
                  <c:v>0.19600000000000001</c:v>
                </c:pt>
                <c:pt idx="7">
                  <c:v>0.24600000000000002</c:v>
                </c:pt>
                <c:pt idx="8">
                  <c:v>0.26900000000000002</c:v>
                </c:pt>
                <c:pt idx="9">
                  <c:v>9.7999999999999976E-2</c:v>
                </c:pt>
                <c:pt idx="10">
                  <c:v>0.14799999999999999</c:v>
                </c:pt>
                <c:pt idx="11">
                  <c:v>0.17099999999999999</c:v>
                </c:pt>
                <c:pt idx="12">
                  <c:v>5.0000000000000017E-2</c:v>
                </c:pt>
                <c:pt idx="13">
                  <c:v>7.3000000000000009E-2</c:v>
                </c:pt>
                <c:pt idx="14">
                  <c:v>2.2999999999999993E-2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電力データ_0610以降_100N!$K$174:$K$188</c15:f>
                <c15:dlblRangeCache>
                  <c:ptCount val="15"/>
                  <c:pt idx="0">
                    <c:v>16M-12M</c:v>
                  </c:pt>
                  <c:pt idx="1">
                    <c:v>16M-8M</c:v>
                  </c:pt>
                  <c:pt idx="2">
                    <c:v>16M-4M</c:v>
                  </c:pt>
                  <c:pt idx="3">
                    <c:v>16M-2M</c:v>
                  </c:pt>
                  <c:pt idx="4">
                    <c:v>16M-1M</c:v>
                  </c:pt>
                  <c:pt idx="5">
                    <c:v>12M -8M</c:v>
                  </c:pt>
                  <c:pt idx="6">
                    <c:v>12M-4M</c:v>
                  </c:pt>
                  <c:pt idx="7">
                    <c:v>12M-2M</c:v>
                  </c:pt>
                  <c:pt idx="8">
                    <c:v>12M-1M</c:v>
                  </c:pt>
                  <c:pt idx="9">
                    <c:v>8M-4M</c:v>
                  </c:pt>
                  <c:pt idx="10">
                    <c:v>8M-2M</c:v>
                  </c:pt>
                  <c:pt idx="11">
                    <c:v>8M-1M</c:v>
                  </c:pt>
                  <c:pt idx="12">
                    <c:v>4M-2M</c:v>
                  </c:pt>
                  <c:pt idx="13">
                    <c:v>4M-1M</c:v>
                  </c:pt>
                  <c:pt idx="14">
                    <c:v>2M-1M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580D-48ED-B83D-0B269FF92CF0}"/>
            </c:ext>
          </c:extLst>
        </c:ser>
        <c:ser>
          <c:idx val="2"/>
          <c:order val="2"/>
          <c:tx>
            <c:strRef>
              <c:f>電力データ_0610以降_100N!$O$173</c:f>
              <c:strCache>
                <c:ptCount val="1"/>
                <c:pt idx="0">
                  <c:v>Synthesis LUT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電力データ_0610以降_100N!$O$174:$O$188</c:f>
              <c:numCache>
                <c:formatCode>#,##0</c:formatCode>
                <c:ptCount val="15"/>
                <c:pt idx="0" formatCode="General">
                  <c:v>12796</c:v>
                </c:pt>
                <c:pt idx="1">
                  <c:v>25596</c:v>
                </c:pt>
                <c:pt idx="2">
                  <c:v>38396</c:v>
                </c:pt>
                <c:pt idx="3">
                  <c:v>44796</c:v>
                </c:pt>
                <c:pt idx="4">
                  <c:v>47996</c:v>
                </c:pt>
                <c:pt idx="5">
                  <c:v>12800</c:v>
                </c:pt>
                <c:pt idx="6">
                  <c:v>25600</c:v>
                </c:pt>
                <c:pt idx="7">
                  <c:v>32000</c:v>
                </c:pt>
                <c:pt idx="8">
                  <c:v>35200</c:v>
                </c:pt>
                <c:pt idx="9">
                  <c:v>12800</c:v>
                </c:pt>
                <c:pt idx="10">
                  <c:v>19200</c:v>
                </c:pt>
                <c:pt idx="11">
                  <c:v>22400</c:v>
                </c:pt>
                <c:pt idx="12">
                  <c:v>6400</c:v>
                </c:pt>
                <c:pt idx="13">
                  <c:v>9600</c:v>
                </c:pt>
                <c:pt idx="14">
                  <c:v>3200</c:v>
                </c:pt>
              </c:numCache>
            </c:numRef>
          </c:xVal>
          <c:yVal>
            <c:numRef>
              <c:f>電力データ_0610以降_100N!$L$174:$L$188</c:f>
              <c:numCache>
                <c:formatCode>General</c:formatCode>
                <c:ptCount val="15"/>
                <c:pt idx="0">
                  <c:v>7.6000000000000012E-2</c:v>
                </c:pt>
                <c:pt idx="1">
                  <c:v>0.17400000000000004</c:v>
                </c:pt>
                <c:pt idx="2">
                  <c:v>0.27200000000000002</c:v>
                </c:pt>
                <c:pt idx="3">
                  <c:v>0.32200000000000006</c:v>
                </c:pt>
                <c:pt idx="4">
                  <c:v>0.34500000000000003</c:v>
                </c:pt>
                <c:pt idx="5">
                  <c:v>9.8000000000000032E-2</c:v>
                </c:pt>
                <c:pt idx="6">
                  <c:v>0.19600000000000001</c:v>
                </c:pt>
                <c:pt idx="7">
                  <c:v>0.24600000000000002</c:v>
                </c:pt>
                <c:pt idx="8">
                  <c:v>0.26900000000000002</c:v>
                </c:pt>
                <c:pt idx="9">
                  <c:v>9.7999999999999976E-2</c:v>
                </c:pt>
                <c:pt idx="10">
                  <c:v>0.14799999999999999</c:v>
                </c:pt>
                <c:pt idx="11">
                  <c:v>0.17099999999999999</c:v>
                </c:pt>
                <c:pt idx="12">
                  <c:v>5.0000000000000017E-2</c:v>
                </c:pt>
                <c:pt idx="13">
                  <c:v>7.3000000000000009E-2</c:v>
                </c:pt>
                <c:pt idx="14">
                  <c:v>2.2999999999999993E-2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0D-48ED-B83D-0B269FF92CF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90796271"/>
        <c:axId val="190046879"/>
      </c:scatterChart>
      <c:valAx>
        <c:axId val="690796271"/>
        <c:scaling>
          <c:orientation val="minMax"/>
          <c:max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LUT</a:t>
                </a:r>
                <a:r>
                  <a:rPr lang="ja-JP" altLang="en-US"/>
                  <a:t>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0046879"/>
        <c:crosses val="autoZero"/>
        <c:crossBetween val="midCat"/>
      </c:valAx>
      <c:valAx>
        <c:axId val="19004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</a:t>
                </a:r>
                <a:r>
                  <a:rPr lang="en-US" altLang="ja-JP"/>
                  <a:t>[W]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0796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800" b="0" i="0" baseline="0">
                <a:effectLst/>
              </a:rPr>
              <a:t>手法</a:t>
            </a:r>
            <a:r>
              <a:rPr lang="en-US" altLang="ja-JP" sz="1800" b="0" i="0" baseline="0">
                <a:effectLst/>
              </a:rPr>
              <a:t>1</a:t>
            </a:r>
            <a:r>
              <a:rPr lang="ja-JP" altLang="ja-JP" sz="1800" b="0" i="0" baseline="0">
                <a:effectLst/>
              </a:rPr>
              <a:t>，</a:t>
            </a:r>
            <a:r>
              <a:rPr lang="en-US" altLang="ja-JP" sz="1800" b="0" i="0" baseline="0">
                <a:effectLst/>
              </a:rPr>
              <a:t>2</a:t>
            </a:r>
            <a:r>
              <a:rPr lang="ja-JP" altLang="ja-JP" sz="1800" b="0" i="0" baseline="0">
                <a:effectLst/>
              </a:rPr>
              <a:t>，推定電力の</a:t>
            </a:r>
            <a:r>
              <a:rPr lang="en-US" altLang="ja-JP" sz="1800" b="0" i="0" baseline="0">
                <a:effectLst/>
              </a:rPr>
              <a:t>3</a:t>
            </a:r>
            <a:r>
              <a:rPr lang="ja-JP" altLang="ja-JP" sz="1800" b="0" i="0" baseline="0">
                <a:effectLst/>
              </a:rPr>
              <a:t>者比較 散布図</a:t>
            </a:r>
            <a:endParaRPr lang="ja-JP" altLang="ja-JP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電力データ_0610以降_100N!$AD$119</c:f>
              <c:strCache>
                <c:ptCount val="1"/>
                <c:pt idx="0">
                  <c:v>Plan.1 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電力データ_0610以降_100N!$AC$120:$AC$134</c:f>
              <c:numCache>
                <c:formatCode>#,##0</c:formatCode>
                <c:ptCount val="15"/>
                <c:pt idx="0" formatCode="General">
                  <c:v>12796</c:v>
                </c:pt>
                <c:pt idx="1">
                  <c:v>25596</c:v>
                </c:pt>
                <c:pt idx="2">
                  <c:v>38396</c:v>
                </c:pt>
                <c:pt idx="3">
                  <c:v>44796</c:v>
                </c:pt>
                <c:pt idx="4">
                  <c:v>47996</c:v>
                </c:pt>
                <c:pt idx="5">
                  <c:v>12800</c:v>
                </c:pt>
                <c:pt idx="6">
                  <c:v>25600</c:v>
                </c:pt>
                <c:pt idx="7">
                  <c:v>32000</c:v>
                </c:pt>
                <c:pt idx="8">
                  <c:v>35200</c:v>
                </c:pt>
                <c:pt idx="9">
                  <c:v>12800</c:v>
                </c:pt>
                <c:pt idx="10">
                  <c:v>19200</c:v>
                </c:pt>
                <c:pt idx="11">
                  <c:v>22400</c:v>
                </c:pt>
                <c:pt idx="12">
                  <c:v>6400</c:v>
                </c:pt>
                <c:pt idx="13">
                  <c:v>9600</c:v>
                </c:pt>
                <c:pt idx="14">
                  <c:v>3200</c:v>
                </c:pt>
              </c:numCache>
            </c:numRef>
          </c:xVal>
          <c:yVal>
            <c:numRef>
              <c:f>電力データ_0610以降_100N!$AD$120:$AD$134</c:f>
              <c:numCache>
                <c:formatCode>0.0000</c:formatCode>
                <c:ptCount val="15"/>
                <c:pt idx="0">
                  <c:v>8.0112903225806997E-2</c:v>
                </c:pt>
                <c:pt idx="1">
                  <c:v>0.170548387096775</c:v>
                </c:pt>
                <c:pt idx="2">
                  <c:v>0.25758064516129053</c:v>
                </c:pt>
                <c:pt idx="3">
                  <c:v>0.30161290322580769</c:v>
                </c:pt>
                <c:pt idx="4">
                  <c:v>0.33932258064516141</c:v>
                </c:pt>
                <c:pt idx="5">
                  <c:v>9.0435483870968003E-2</c:v>
                </c:pt>
                <c:pt idx="6">
                  <c:v>0.17746774193548354</c:v>
                </c:pt>
                <c:pt idx="7">
                  <c:v>0.2215000000000007</c:v>
                </c:pt>
                <c:pt idx="8">
                  <c:v>0.25920967741935441</c:v>
                </c:pt>
                <c:pt idx="9">
                  <c:v>8.7032258064515533E-2</c:v>
                </c:pt>
                <c:pt idx="10">
                  <c:v>0.13106451612903269</c:v>
                </c:pt>
                <c:pt idx="11">
                  <c:v>0.16877419354838641</c:v>
                </c:pt>
                <c:pt idx="12">
                  <c:v>4.403225806451716E-2</c:v>
                </c:pt>
                <c:pt idx="13">
                  <c:v>8.1741935483870876E-2</c:v>
                </c:pt>
                <c:pt idx="14">
                  <c:v>3.7709677419353715E-2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AA-4987-B5B1-72EB20FCA144}"/>
            </c:ext>
          </c:extLst>
        </c:ser>
        <c:ser>
          <c:idx val="1"/>
          <c:order val="1"/>
          <c:tx>
            <c:strRef>
              <c:f>電力データ_0610以降_100N!$AE$119</c:f>
              <c:strCache>
                <c:ptCount val="1"/>
                <c:pt idx="0">
                  <c:v>Plan.2 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電力データ_0610以降_100N!$AC$120:$AC$134</c:f>
              <c:numCache>
                <c:formatCode>#,##0</c:formatCode>
                <c:ptCount val="15"/>
                <c:pt idx="0" formatCode="General">
                  <c:v>12796</c:v>
                </c:pt>
                <c:pt idx="1">
                  <c:v>25596</c:v>
                </c:pt>
                <c:pt idx="2">
                  <c:v>38396</c:v>
                </c:pt>
                <c:pt idx="3">
                  <c:v>44796</c:v>
                </c:pt>
                <c:pt idx="4">
                  <c:v>47996</c:v>
                </c:pt>
                <c:pt idx="5">
                  <c:v>12800</c:v>
                </c:pt>
                <c:pt idx="6">
                  <c:v>25600</c:v>
                </c:pt>
                <c:pt idx="7">
                  <c:v>32000</c:v>
                </c:pt>
                <c:pt idx="8">
                  <c:v>35200</c:v>
                </c:pt>
                <c:pt idx="9">
                  <c:v>12800</c:v>
                </c:pt>
                <c:pt idx="10">
                  <c:v>19200</c:v>
                </c:pt>
                <c:pt idx="11">
                  <c:v>22400</c:v>
                </c:pt>
                <c:pt idx="12">
                  <c:v>6400</c:v>
                </c:pt>
                <c:pt idx="13">
                  <c:v>9600</c:v>
                </c:pt>
                <c:pt idx="14">
                  <c:v>3200</c:v>
                </c:pt>
              </c:numCache>
            </c:numRef>
          </c:xVal>
          <c:yVal>
            <c:numRef>
              <c:f>電力データ_0610以降_100N!$AE$120:$AE$134</c:f>
              <c:numCache>
                <c:formatCode>General</c:formatCode>
                <c:ptCount val="15"/>
                <c:pt idx="0">
                  <c:v>7.7290322580645832E-2</c:v>
                </c:pt>
                <c:pt idx="1">
                  <c:v>0.16769354838709782</c:v>
                </c:pt>
                <c:pt idx="2">
                  <c:v>0.25366129032258078</c:v>
                </c:pt>
                <c:pt idx="3">
                  <c:v>0.29485483870967943</c:v>
                </c:pt>
                <c:pt idx="4">
                  <c:v>0.33369354838709664</c:v>
                </c:pt>
                <c:pt idx="5">
                  <c:v>9.0403225806451992E-2</c:v>
                </c:pt>
                <c:pt idx="6">
                  <c:v>0.17637096774193495</c:v>
                </c:pt>
                <c:pt idx="7">
                  <c:v>0.2175645161290336</c:v>
                </c:pt>
                <c:pt idx="8">
                  <c:v>0.25640322580645081</c:v>
                </c:pt>
                <c:pt idx="9">
                  <c:v>8.5967741935482955E-2</c:v>
                </c:pt>
                <c:pt idx="10">
                  <c:v>0.12716129032258161</c:v>
                </c:pt>
                <c:pt idx="11">
                  <c:v>0.16599999999999882</c:v>
                </c:pt>
                <c:pt idx="12">
                  <c:v>4.1193548387098655E-2</c:v>
                </c:pt>
                <c:pt idx="13">
                  <c:v>8.003225806451586E-2</c:v>
                </c:pt>
                <c:pt idx="14">
                  <c:v>3.8838709677417205E-2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AA-4987-B5B1-72EB20FCA144}"/>
            </c:ext>
          </c:extLst>
        </c:ser>
        <c:ser>
          <c:idx val="2"/>
          <c:order val="2"/>
          <c:tx>
            <c:strRef>
              <c:f>電力データ_0610以降_100N!$AF$119</c:f>
              <c:strCache>
                <c:ptCount val="1"/>
                <c:pt idx="0">
                  <c:v>Estimation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920C34D-44EF-4D57-ABF0-7DD9D743E4F7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E0AA-4987-B5B1-72EB20FCA14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28ECD10-6617-4CC2-A1BA-7CA3AA00F7C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0AA-4987-B5B1-72EB20FCA14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6BD7F31-189B-4C4D-B7BD-CFB7DAD4435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0AA-4987-B5B1-72EB20FCA14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294AEAF-A57B-425F-9FAE-A1E8A8D8D78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0AA-4987-B5B1-72EB20FCA14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F5D8ED3-914F-4103-90C4-94D76CD756C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0AA-4987-B5B1-72EB20FCA14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8F99BA7-337E-412B-9AF4-4AB6635A209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0AA-4987-B5B1-72EB20FCA14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9D64477-FC21-44F1-9952-BCF02140656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0AA-4987-B5B1-72EB20FCA14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339D0C7-C875-45C2-AC27-B95B5B367ED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0AA-4987-B5B1-72EB20FCA14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0BDCF2F-2884-4018-BC23-2A36FFDCFFF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0AA-4987-B5B1-72EB20FCA14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61C0C38-0372-4C5C-A653-EE4FA1D850E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0AA-4987-B5B1-72EB20FCA14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E946B9D-1BAF-44C6-A446-F177F724265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0AA-4987-B5B1-72EB20FCA14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E047D1C-3318-4183-BD54-CBC6DF7E610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0AA-4987-B5B1-72EB20FCA14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C3BBEDC-8C84-4122-8E08-F4EA4D36E9C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0AA-4987-B5B1-72EB20FCA14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5557CF3-6F51-4104-8C45-73A5394013D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0AA-4987-B5B1-72EB20FCA14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7F47333-C8D3-4BF9-88A8-8F9D7D163FF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0AA-4987-B5B1-72EB20FCA1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電力データ_0610以降_100N!$AC$120:$AC$134</c:f>
              <c:numCache>
                <c:formatCode>#,##0</c:formatCode>
                <c:ptCount val="15"/>
                <c:pt idx="0" formatCode="General">
                  <c:v>12796</c:v>
                </c:pt>
                <c:pt idx="1">
                  <c:v>25596</c:v>
                </c:pt>
                <c:pt idx="2">
                  <c:v>38396</c:v>
                </c:pt>
                <c:pt idx="3">
                  <c:v>44796</c:v>
                </c:pt>
                <c:pt idx="4">
                  <c:v>47996</c:v>
                </c:pt>
                <c:pt idx="5">
                  <c:v>12800</c:v>
                </c:pt>
                <c:pt idx="6">
                  <c:v>25600</c:v>
                </c:pt>
                <c:pt idx="7">
                  <c:v>32000</c:v>
                </c:pt>
                <c:pt idx="8">
                  <c:v>35200</c:v>
                </c:pt>
                <c:pt idx="9">
                  <c:v>12800</c:v>
                </c:pt>
                <c:pt idx="10">
                  <c:v>19200</c:v>
                </c:pt>
                <c:pt idx="11">
                  <c:v>22400</c:v>
                </c:pt>
                <c:pt idx="12">
                  <c:v>6400</c:v>
                </c:pt>
                <c:pt idx="13">
                  <c:v>9600</c:v>
                </c:pt>
                <c:pt idx="14">
                  <c:v>3200</c:v>
                </c:pt>
              </c:numCache>
            </c:numRef>
          </c:xVal>
          <c:yVal>
            <c:numRef>
              <c:f>電力データ_0610以降_100N!$AF$120:$AF$134</c:f>
              <c:numCache>
                <c:formatCode>General</c:formatCode>
                <c:ptCount val="15"/>
                <c:pt idx="0">
                  <c:v>7.6000000000000012E-2</c:v>
                </c:pt>
                <c:pt idx="1">
                  <c:v>0.17400000000000004</c:v>
                </c:pt>
                <c:pt idx="2">
                  <c:v>0.27200000000000002</c:v>
                </c:pt>
                <c:pt idx="3">
                  <c:v>0.32200000000000006</c:v>
                </c:pt>
                <c:pt idx="4">
                  <c:v>0.34500000000000003</c:v>
                </c:pt>
                <c:pt idx="5">
                  <c:v>9.8000000000000032E-2</c:v>
                </c:pt>
                <c:pt idx="6">
                  <c:v>0.19600000000000001</c:v>
                </c:pt>
                <c:pt idx="7">
                  <c:v>0.24600000000000002</c:v>
                </c:pt>
                <c:pt idx="8">
                  <c:v>0.26900000000000002</c:v>
                </c:pt>
                <c:pt idx="9">
                  <c:v>9.7999999999999976E-2</c:v>
                </c:pt>
                <c:pt idx="10">
                  <c:v>0.14799999999999999</c:v>
                </c:pt>
                <c:pt idx="11">
                  <c:v>0.17099999999999999</c:v>
                </c:pt>
                <c:pt idx="12">
                  <c:v>5.0000000000000017E-2</c:v>
                </c:pt>
                <c:pt idx="13">
                  <c:v>7.3000000000000009E-2</c:v>
                </c:pt>
                <c:pt idx="14">
                  <c:v>2.2999999999999993E-2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電力データ_0610以降_100N!$AB$120:$AB$134</c15:f>
                <c15:dlblRangeCache>
                  <c:ptCount val="15"/>
                  <c:pt idx="0">
                    <c:v>16M-12M</c:v>
                  </c:pt>
                  <c:pt idx="1">
                    <c:v>16M-8M</c:v>
                  </c:pt>
                  <c:pt idx="2">
                    <c:v>16M-4M</c:v>
                  </c:pt>
                  <c:pt idx="3">
                    <c:v>16M-2M</c:v>
                  </c:pt>
                  <c:pt idx="4">
                    <c:v>16M-1M</c:v>
                  </c:pt>
                  <c:pt idx="5">
                    <c:v>12M -8M</c:v>
                  </c:pt>
                  <c:pt idx="6">
                    <c:v>12M-4M</c:v>
                  </c:pt>
                  <c:pt idx="7">
                    <c:v>12M-2M</c:v>
                  </c:pt>
                  <c:pt idx="8">
                    <c:v>12M-1M</c:v>
                  </c:pt>
                  <c:pt idx="9">
                    <c:v>8M-4M</c:v>
                  </c:pt>
                  <c:pt idx="10">
                    <c:v>8M-2M</c:v>
                  </c:pt>
                  <c:pt idx="11">
                    <c:v>8M-1M</c:v>
                  </c:pt>
                  <c:pt idx="12">
                    <c:v>4M-2M</c:v>
                  </c:pt>
                  <c:pt idx="13">
                    <c:v>4M-1M</c:v>
                  </c:pt>
                  <c:pt idx="14">
                    <c:v>2M-1M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E0AA-4987-B5B1-72EB20FCA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570239"/>
        <c:axId val="190667343"/>
      </c:scatterChart>
      <c:valAx>
        <c:axId val="690570239"/>
        <c:scaling>
          <c:orientation val="minMax"/>
          <c:max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LUT</a:t>
                </a:r>
                <a:r>
                  <a:rPr lang="ja-JP" altLang="en-US"/>
                  <a:t>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0667343"/>
        <c:crosses val="autoZero"/>
        <c:crossBetween val="midCat"/>
      </c:valAx>
      <c:valAx>
        <c:axId val="19066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電力［</a:t>
                </a:r>
                <a:r>
                  <a:rPr lang="en-US" altLang="ja-JP"/>
                  <a:t>W</a:t>
                </a:r>
                <a:r>
                  <a:rPr lang="ja-JP" altLang="en-US"/>
                  <a:t>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0570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電力データ_0610以降_100N!$C$223</c:f>
              <c:strCache>
                <c:ptCount val="1"/>
                <c:pt idx="0">
                  <c:v>NOT段数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電力データ_0610以降_100N!$C$224:$C$229</c:f>
              <c:numCache>
                <c:formatCode>General</c:formatCode>
                <c:ptCount val="6"/>
                <c:pt idx="0">
                  <c:v>16</c:v>
                </c:pt>
                <c:pt idx="1">
                  <c:v>12</c:v>
                </c:pt>
                <c:pt idx="2">
                  <c:v>8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</c:numCache>
            </c:numRef>
          </c:xVal>
          <c:yVal>
            <c:numRef>
              <c:f>電力データ_0610以降_100N!$F$224:$F$229</c:f>
              <c:numCache>
                <c:formatCode>General</c:formatCode>
                <c:ptCount val="6"/>
                <c:pt idx="0">
                  <c:v>1.8938225806451614</c:v>
                </c:pt>
                <c:pt idx="1">
                  <c:v>1.8137096774193544</c:v>
                </c:pt>
                <c:pt idx="2">
                  <c:v>1.7232741935483864</c:v>
                </c:pt>
                <c:pt idx="3">
                  <c:v>1.6362419354838709</c:v>
                </c:pt>
                <c:pt idx="4">
                  <c:v>1.5922096774193537</c:v>
                </c:pt>
                <c:pt idx="5">
                  <c:v>1.5545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59-4783-85F6-529C344D7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805856"/>
        <c:axId val="423288848"/>
      </c:scatterChart>
      <c:valAx>
        <c:axId val="62980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3288848"/>
        <c:crosses val="autoZero"/>
        <c:crossBetween val="midCat"/>
      </c:valAx>
      <c:valAx>
        <c:axId val="423288848"/>
        <c:scaling>
          <c:orientation val="minMax"/>
          <c:min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9805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（差分）</a:t>
            </a:r>
            <a:r>
              <a:rPr lang="en-US" altLang="ja-JP"/>
              <a:t>各回路</a:t>
            </a:r>
            <a:r>
              <a:rPr lang="ja-JP" altLang="en-US"/>
              <a:t>の</a:t>
            </a:r>
            <a:r>
              <a:rPr lang="en-US" altLang="ja-JP"/>
              <a:t>LUT数</a:t>
            </a:r>
            <a:r>
              <a:rPr lang="ja-JP" altLang="en-US"/>
              <a:t>電力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電力データ0610以降_300N!$K$71:$K$72</c:f>
              <c:strCache>
                <c:ptCount val="2"/>
                <c:pt idx="0">
                  <c:v>62.5MHz</c:v>
                </c:pt>
                <c:pt idx="1">
                  <c:v>LUT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電力データ0610以降_300N!$J$73:$J$78</c:f>
              <c:strCache>
                <c:ptCount val="6"/>
                <c:pt idx="0">
                  <c:v>4M-3M</c:v>
                </c:pt>
                <c:pt idx="1">
                  <c:v>4M-2M</c:v>
                </c:pt>
                <c:pt idx="2">
                  <c:v>4M-1M</c:v>
                </c:pt>
                <c:pt idx="3">
                  <c:v>3M-2M</c:v>
                </c:pt>
                <c:pt idx="4">
                  <c:v>3M-1M</c:v>
                </c:pt>
                <c:pt idx="5">
                  <c:v>2M-1M</c:v>
                </c:pt>
              </c:strCache>
            </c:strRef>
          </c:cat>
          <c:val>
            <c:numRef>
              <c:f>電力データ0610以降_300N!$K$73:$K$78</c:f>
              <c:numCache>
                <c:formatCode>#,##0</c:formatCode>
                <c:ptCount val="6"/>
                <c:pt idx="0">
                  <c:v>7988</c:v>
                </c:pt>
                <c:pt idx="1">
                  <c:v>15556</c:v>
                </c:pt>
                <c:pt idx="2">
                  <c:v>23054</c:v>
                </c:pt>
                <c:pt idx="3">
                  <c:v>7568</c:v>
                </c:pt>
                <c:pt idx="4">
                  <c:v>15066</c:v>
                </c:pt>
                <c:pt idx="5">
                  <c:v>7498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B-4027-B60C-19FB7BABD167}"/>
            </c:ext>
          </c:extLst>
        </c:ser>
        <c:ser>
          <c:idx val="2"/>
          <c:order val="2"/>
          <c:tx>
            <c:strRef>
              <c:f>電力データ0610以降_300N!$M$71:$M$72</c:f>
              <c:strCache>
                <c:ptCount val="2"/>
                <c:pt idx="0">
                  <c:v>125MHz</c:v>
                </c:pt>
                <c:pt idx="1">
                  <c:v>LUT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電力データ0610以降_300N!$J$73:$J$78</c:f>
              <c:strCache>
                <c:ptCount val="6"/>
                <c:pt idx="0">
                  <c:v>4M-3M</c:v>
                </c:pt>
                <c:pt idx="1">
                  <c:v>4M-2M</c:v>
                </c:pt>
                <c:pt idx="2">
                  <c:v>4M-1M</c:v>
                </c:pt>
                <c:pt idx="3">
                  <c:v>3M-2M</c:v>
                </c:pt>
                <c:pt idx="4">
                  <c:v>3M-1M</c:v>
                </c:pt>
                <c:pt idx="5">
                  <c:v>2M-1M</c:v>
                </c:pt>
              </c:strCache>
            </c:strRef>
          </c:cat>
          <c:val>
            <c:numRef>
              <c:f>電力データ0610以降_300N!$M$73:$M$78</c:f>
              <c:numCache>
                <c:formatCode>#,##0</c:formatCode>
                <c:ptCount val="6"/>
                <c:pt idx="0">
                  <c:v>7988</c:v>
                </c:pt>
                <c:pt idx="1">
                  <c:v>15556</c:v>
                </c:pt>
                <c:pt idx="2">
                  <c:v>23054</c:v>
                </c:pt>
                <c:pt idx="3">
                  <c:v>7568</c:v>
                </c:pt>
                <c:pt idx="4">
                  <c:v>15066</c:v>
                </c:pt>
                <c:pt idx="5">
                  <c:v>7498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3B-4027-B60C-19FB7BABD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43075872"/>
        <c:axId val="1132104608"/>
      </c:barChart>
      <c:scatterChart>
        <c:scatterStyle val="lineMarker"/>
        <c:varyColors val="0"/>
        <c:ser>
          <c:idx val="1"/>
          <c:order val="1"/>
          <c:tx>
            <c:strRef>
              <c:f>電力データ0610以降_300N!$L$71:$L$72</c:f>
              <c:strCache>
                <c:ptCount val="2"/>
                <c:pt idx="0">
                  <c:v>62.5MHz</c:v>
                </c:pt>
                <c:pt idx="1">
                  <c:v>POWER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電力データ0610以降_300N!$J$73:$J$78</c:f>
              <c:strCache>
                <c:ptCount val="6"/>
                <c:pt idx="0">
                  <c:v>4M-3M</c:v>
                </c:pt>
                <c:pt idx="1">
                  <c:v>4M-2M</c:v>
                </c:pt>
                <c:pt idx="2">
                  <c:v>4M-1M</c:v>
                </c:pt>
                <c:pt idx="3">
                  <c:v>3M-2M</c:v>
                </c:pt>
                <c:pt idx="4">
                  <c:v>3M-1M</c:v>
                </c:pt>
                <c:pt idx="5">
                  <c:v>2M-1M</c:v>
                </c:pt>
              </c:strCache>
            </c:strRef>
          </c:xVal>
          <c:yVal>
            <c:numRef>
              <c:f>電力データ0610以降_300N!$L$73:$L$78</c:f>
              <c:numCache>
                <c:formatCode>General</c:formatCode>
                <c:ptCount val="6"/>
                <c:pt idx="0">
                  <c:v>3.5725806451612829E-2</c:v>
                </c:pt>
                <c:pt idx="1">
                  <c:v>0.11795161290322431</c:v>
                </c:pt>
                <c:pt idx="2">
                  <c:v>0.18108064516128985</c:v>
                </c:pt>
                <c:pt idx="3">
                  <c:v>8.2225806451611483E-2</c:v>
                </c:pt>
                <c:pt idx="4">
                  <c:v>0.14535483870967703</c:v>
                </c:pt>
                <c:pt idx="5">
                  <c:v>6.3129032258065543E-2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3B-4027-B60C-19FB7BABD167}"/>
            </c:ext>
          </c:extLst>
        </c:ser>
        <c:ser>
          <c:idx val="3"/>
          <c:order val="3"/>
          <c:tx>
            <c:strRef>
              <c:f>電力データ0610以降_300N!$N$71:$N$72</c:f>
              <c:strCache>
                <c:ptCount val="2"/>
                <c:pt idx="0">
                  <c:v>125MHz</c:v>
                </c:pt>
                <c:pt idx="1">
                  <c:v>POWER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電力データ0610以降_300N!$J$73:$J$78</c:f>
              <c:strCache>
                <c:ptCount val="6"/>
                <c:pt idx="0">
                  <c:v>4M-3M</c:v>
                </c:pt>
                <c:pt idx="1">
                  <c:v>4M-2M</c:v>
                </c:pt>
                <c:pt idx="2">
                  <c:v>4M-1M</c:v>
                </c:pt>
                <c:pt idx="3">
                  <c:v>3M-2M</c:v>
                </c:pt>
                <c:pt idx="4">
                  <c:v>3M-1M</c:v>
                </c:pt>
                <c:pt idx="5">
                  <c:v>2M-1M</c:v>
                </c:pt>
              </c:strCache>
            </c:strRef>
          </c:xVal>
          <c:yVal>
            <c:numRef>
              <c:f>電力データ0610以降_300N!$N$73:$N$78</c:f>
              <c:numCache>
                <c:formatCode>General</c:formatCode>
                <c:ptCount val="6"/>
                <c:pt idx="0">
                  <c:v>0.10199999999999898</c:v>
                </c:pt>
                <c:pt idx="1">
                  <c:v>0.24249999999999972</c:v>
                </c:pt>
                <c:pt idx="2">
                  <c:v>0.26651612903225841</c:v>
                </c:pt>
                <c:pt idx="3">
                  <c:v>0.14050000000000074</c:v>
                </c:pt>
                <c:pt idx="4">
                  <c:v>0.16451612903225943</c:v>
                </c:pt>
                <c:pt idx="5">
                  <c:v>2.4016129032258693E-2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3B-4027-B60C-19FB7BABD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88368"/>
        <c:axId val="1132107936"/>
      </c:scatterChart>
      <c:catAx>
        <c:axId val="843075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差分をとった回路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2104608"/>
        <c:crosses val="autoZero"/>
        <c:auto val="1"/>
        <c:lblAlgn val="ctr"/>
        <c:lblOffset val="100"/>
        <c:noMultiLvlLbl val="0"/>
      </c:catAx>
      <c:valAx>
        <c:axId val="11321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LUT</a:t>
                </a:r>
                <a:r>
                  <a:rPr lang="ja-JP" altLang="en-US"/>
                  <a:t>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3075872"/>
        <c:crosses val="autoZero"/>
        <c:crossBetween val="between"/>
      </c:valAx>
      <c:valAx>
        <c:axId val="1132107936"/>
        <c:scaling>
          <c:orientation val="minMax"/>
        </c:scaling>
        <c:delete val="0"/>
        <c:axPos val="r"/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電力［</a:t>
                </a:r>
                <a:r>
                  <a:rPr lang="en-US" altLang="ja-JP"/>
                  <a:t>W</a:t>
                </a:r>
                <a:r>
                  <a:rPr lang="ja-JP" altLang="en-US"/>
                  <a:t>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9588368"/>
        <c:crosses val="max"/>
        <c:crossBetween val="midCat"/>
      </c:valAx>
      <c:valAx>
        <c:axId val="1299588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2107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800" b="0" i="0" baseline="0">
                <a:effectLst/>
              </a:rPr>
              <a:t>（差分）</a:t>
            </a:r>
            <a:r>
              <a:rPr lang="en-US" altLang="ja-JP" sz="1800" b="0" i="0" baseline="0">
                <a:effectLst/>
              </a:rPr>
              <a:t>各回路</a:t>
            </a:r>
            <a:r>
              <a:rPr lang="ja-JP" altLang="ja-JP" sz="1800" b="0" i="0" baseline="0">
                <a:effectLst/>
              </a:rPr>
              <a:t>の</a:t>
            </a:r>
            <a:r>
              <a:rPr lang="en-US" altLang="ja-JP" sz="1800" b="0" i="0" baseline="0">
                <a:effectLst/>
              </a:rPr>
              <a:t>LUT数</a:t>
            </a:r>
            <a:r>
              <a:rPr lang="ja-JP" altLang="ja-JP" sz="1800" b="0" i="0" baseline="0">
                <a:effectLst/>
              </a:rPr>
              <a:t>電力</a:t>
            </a:r>
            <a:endParaRPr lang="ja-JP" altLang="ja-JP">
              <a:effectLst/>
            </a:endParaRPr>
          </a:p>
        </c:rich>
      </c:tx>
      <c:layout>
        <c:manualLayout>
          <c:xMode val="edge"/>
          <c:yMode val="edge"/>
          <c:x val="0.17120438229918092"/>
          <c:y val="2.48790574167506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電力データ0610以降_300N!$J$86:$J$87</c:f>
              <c:strCache>
                <c:ptCount val="2"/>
                <c:pt idx="0">
                  <c:v>62.5MHz</c:v>
                </c:pt>
                <c:pt idx="1">
                  <c:v>LUT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電力データ0610以降_300N!$I$88:$I$93</c:f>
              <c:strCache>
                <c:ptCount val="6"/>
                <c:pt idx="0">
                  <c:v>4M-3M</c:v>
                </c:pt>
                <c:pt idx="1">
                  <c:v>4M-2M</c:v>
                </c:pt>
                <c:pt idx="2">
                  <c:v>4M-1M</c:v>
                </c:pt>
                <c:pt idx="3">
                  <c:v>3M-2M</c:v>
                </c:pt>
                <c:pt idx="4">
                  <c:v>3M-1M</c:v>
                </c:pt>
                <c:pt idx="5">
                  <c:v>2M-1M</c:v>
                </c:pt>
              </c:strCache>
            </c:strRef>
          </c:cat>
          <c:val>
            <c:numRef>
              <c:f>電力データ0610以降_300N!$J$88:$J$93</c:f>
              <c:numCache>
                <c:formatCode>#,##0</c:formatCode>
                <c:ptCount val="6"/>
                <c:pt idx="0">
                  <c:v>7988</c:v>
                </c:pt>
                <c:pt idx="1">
                  <c:v>15556</c:v>
                </c:pt>
                <c:pt idx="2">
                  <c:v>23054</c:v>
                </c:pt>
                <c:pt idx="3">
                  <c:v>7568</c:v>
                </c:pt>
                <c:pt idx="4">
                  <c:v>15066</c:v>
                </c:pt>
                <c:pt idx="5">
                  <c:v>7498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6-4447-91DD-7C160FAB0856}"/>
            </c:ext>
          </c:extLst>
        </c:ser>
        <c:ser>
          <c:idx val="2"/>
          <c:order val="2"/>
          <c:tx>
            <c:strRef>
              <c:f>電力データ0610以降_300N!$L$86:$L$87</c:f>
              <c:strCache>
                <c:ptCount val="2"/>
                <c:pt idx="0">
                  <c:v>125MHz</c:v>
                </c:pt>
                <c:pt idx="1">
                  <c:v>LUT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電力データ0610以降_300N!$I$88:$I$93</c:f>
              <c:strCache>
                <c:ptCount val="6"/>
                <c:pt idx="0">
                  <c:v>4M-3M</c:v>
                </c:pt>
                <c:pt idx="1">
                  <c:v>4M-2M</c:v>
                </c:pt>
                <c:pt idx="2">
                  <c:v>4M-1M</c:v>
                </c:pt>
                <c:pt idx="3">
                  <c:v>3M-2M</c:v>
                </c:pt>
                <c:pt idx="4">
                  <c:v>3M-1M</c:v>
                </c:pt>
                <c:pt idx="5">
                  <c:v>2M-1M</c:v>
                </c:pt>
              </c:strCache>
            </c:strRef>
          </c:cat>
          <c:val>
            <c:numRef>
              <c:f>電力データ0610以降_300N!$L$88:$L$93</c:f>
              <c:numCache>
                <c:formatCode>#,##0</c:formatCode>
                <c:ptCount val="6"/>
                <c:pt idx="0">
                  <c:v>7988</c:v>
                </c:pt>
                <c:pt idx="1">
                  <c:v>15556</c:v>
                </c:pt>
                <c:pt idx="2">
                  <c:v>23054</c:v>
                </c:pt>
                <c:pt idx="3">
                  <c:v>7568</c:v>
                </c:pt>
                <c:pt idx="4">
                  <c:v>15066</c:v>
                </c:pt>
                <c:pt idx="5">
                  <c:v>7498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46-4447-91DD-7C160FAB0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4647728"/>
        <c:axId val="1132084640"/>
      </c:barChart>
      <c:scatterChart>
        <c:scatterStyle val="lineMarker"/>
        <c:varyColors val="0"/>
        <c:ser>
          <c:idx val="1"/>
          <c:order val="1"/>
          <c:tx>
            <c:strRef>
              <c:f>電力データ0610以降_300N!$K$86:$K$87</c:f>
              <c:strCache>
                <c:ptCount val="2"/>
                <c:pt idx="0">
                  <c:v>62.5MHz</c:v>
                </c:pt>
                <c:pt idx="1">
                  <c:v>POWER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電力データ0610以降_300N!$I$88:$I$93</c:f>
              <c:strCache>
                <c:ptCount val="6"/>
                <c:pt idx="0">
                  <c:v>4M-3M</c:v>
                </c:pt>
                <c:pt idx="1">
                  <c:v>4M-2M</c:v>
                </c:pt>
                <c:pt idx="2">
                  <c:v>4M-1M</c:v>
                </c:pt>
                <c:pt idx="3">
                  <c:v>3M-2M</c:v>
                </c:pt>
                <c:pt idx="4">
                  <c:v>3M-1M</c:v>
                </c:pt>
                <c:pt idx="5">
                  <c:v>2M-1M</c:v>
                </c:pt>
              </c:strCache>
            </c:strRef>
          </c:xVal>
          <c:yVal>
            <c:numRef>
              <c:f>電力データ0610以降_300N!$K$88:$K$93</c:f>
              <c:numCache>
                <c:formatCode>General</c:formatCode>
                <c:ptCount val="6"/>
                <c:pt idx="0">
                  <c:v>3.9659677419354722E-2</c:v>
                </c:pt>
                <c:pt idx="1">
                  <c:v>0.11812903225806104</c:v>
                </c:pt>
                <c:pt idx="2">
                  <c:v>0.18467741935483772</c:v>
                </c:pt>
                <c:pt idx="3">
                  <c:v>7.8469354838706318E-2</c:v>
                </c:pt>
                <c:pt idx="4">
                  <c:v>0.145017741935483</c:v>
                </c:pt>
                <c:pt idx="5">
                  <c:v>6.6548387096776684E-2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46-4447-91DD-7C160FAB0856}"/>
            </c:ext>
          </c:extLst>
        </c:ser>
        <c:ser>
          <c:idx val="3"/>
          <c:order val="3"/>
          <c:tx>
            <c:strRef>
              <c:f>電力データ0610以降_300N!$M$86:$M$87</c:f>
              <c:strCache>
                <c:ptCount val="2"/>
                <c:pt idx="0">
                  <c:v>125MHz</c:v>
                </c:pt>
                <c:pt idx="1">
                  <c:v>POWER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電力データ0610以降_300N!$I$88:$I$93</c:f>
              <c:strCache>
                <c:ptCount val="6"/>
                <c:pt idx="0">
                  <c:v>4M-3M</c:v>
                </c:pt>
                <c:pt idx="1">
                  <c:v>4M-2M</c:v>
                </c:pt>
                <c:pt idx="2">
                  <c:v>4M-1M</c:v>
                </c:pt>
                <c:pt idx="3">
                  <c:v>3M-2M</c:v>
                </c:pt>
                <c:pt idx="4">
                  <c:v>3M-1M</c:v>
                </c:pt>
                <c:pt idx="5">
                  <c:v>2M-1M</c:v>
                </c:pt>
              </c:strCache>
            </c:strRef>
          </c:xVal>
          <c:yVal>
            <c:numRef>
              <c:f>電力データ0610以降_300N!$M$88:$M$93</c:f>
              <c:numCache>
                <c:formatCode>General</c:formatCode>
                <c:ptCount val="6"/>
                <c:pt idx="0">
                  <c:v>0.10451612903225582</c:v>
                </c:pt>
                <c:pt idx="1">
                  <c:v>0.24311290322580614</c:v>
                </c:pt>
                <c:pt idx="2">
                  <c:v>0.30714516129032177</c:v>
                </c:pt>
                <c:pt idx="3">
                  <c:v>0.13859677419355032</c:v>
                </c:pt>
                <c:pt idx="4">
                  <c:v>0.20262903225806594</c:v>
                </c:pt>
                <c:pt idx="5">
                  <c:v>6.4032258064515624E-2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46-4447-91DD-7C160FAB0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082976"/>
        <c:axId val="1132100864"/>
      </c:scatterChart>
      <c:catAx>
        <c:axId val="111464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差分をとった回路お</a:t>
                </a:r>
              </a:p>
            </c:rich>
          </c:tx>
          <c:layout>
            <c:manualLayout>
              <c:xMode val="edge"/>
              <c:yMode val="edge"/>
              <c:x val="0.44060215190668206"/>
              <c:y val="0.777725864783955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2084640"/>
        <c:crosses val="autoZero"/>
        <c:auto val="1"/>
        <c:lblAlgn val="ctr"/>
        <c:lblOffset val="100"/>
        <c:noMultiLvlLbl val="0"/>
      </c:catAx>
      <c:valAx>
        <c:axId val="113208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LUT</a:t>
                </a:r>
                <a:r>
                  <a:rPr lang="ja-JP" altLang="en-US"/>
                  <a:t>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4647728"/>
        <c:crosses val="autoZero"/>
        <c:crossBetween val="between"/>
      </c:valAx>
      <c:valAx>
        <c:axId val="1132100864"/>
        <c:scaling>
          <c:orientation val="minMax"/>
        </c:scaling>
        <c:delete val="0"/>
        <c:axPos val="r"/>
        <c:title>
          <c:tx>
            <c:rich>
              <a:bodyPr rot="0" spcFirstLastPara="1" vertOverflow="ellipsis" vert="wordArtVertRtl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ja-JP" sz="1000" b="0" i="0" baseline="0">
                    <a:effectLst/>
                  </a:rPr>
                  <a:t>電力［</a:t>
                </a:r>
                <a:r>
                  <a:rPr lang="en-US" altLang="ja-JP" sz="1000" b="0" i="0" baseline="0">
                    <a:effectLst/>
                  </a:rPr>
                  <a:t>W</a:t>
                </a:r>
                <a:r>
                  <a:rPr lang="ja-JP" altLang="ja-JP" sz="1000" b="0" i="0" baseline="0">
                    <a:effectLst/>
                  </a:rPr>
                  <a:t>］</a:t>
                </a:r>
                <a:endParaRPr lang="ja-JP" altLang="ja-JP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2082976"/>
        <c:crosses val="max"/>
        <c:crossBetween val="midCat"/>
      </c:valAx>
      <c:valAx>
        <c:axId val="1132082976"/>
        <c:scaling>
          <c:orientation val="minMax"/>
        </c:scaling>
        <c:delete val="1"/>
        <c:axPos val="t"/>
        <c:majorTickMark val="out"/>
        <c:minorTickMark val="none"/>
        <c:tickLblPos val="nextTo"/>
        <c:crossAx val="1132100864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800" b="0" i="0" baseline="0">
                <a:effectLst/>
              </a:rPr>
              <a:t>（差分）</a:t>
            </a:r>
            <a:r>
              <a:rPr lang="en-US" altLang="ja-JP" sz="1800" b="0" i="0" baseline="0">
                <a:effectLst/>
              </a:rPr>
              <a:t>LUT数</a:t>
            </a:r>
            <a:r>
              <a:rPr lang="ja-JP" altLang="ja-JP" sz="1800" b="0" i="0" baseline="0">
                <a:effectLst/>
              </a:rPr>
              <a:t>と電力</a:t>
            </a:r>
            <a:endParaRPr lang="ja-JP" altLang="ja-JP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電力データ0610以降_300N!$L$71:$L$72</c:f>
              <c:strCache>
                <c:ptCount val="2"/>
                <c:pt idx="0">
                  <c:v>62.5MHz</c:v>
                </c:pt>
                <c:pt idx="1">
                  <c:v>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D3502E6-1D70-4CB3-B5A1-A9013EF95223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04F-4A9F-94BF-85D43F3DFD9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8AFD99D-7894-435B-9587-C43271D7A38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04F-4A9F-94BF-85D43F3DFD9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1C42846-36E5-4FDD-B1BB-AB4F50505EC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04F-4A9F-94BF-85D43F3DFD9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94322A2-6288-4370-B1B0-ED3D7A92D92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04F-4A9F-94BF-85D43F3DFD9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3258478-CEE1-4EBA-8D67-6571A884988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04F-4A9F-94BF-85D43F3DFD9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5ED932F-978E-4E28-9EB6-378DA629C34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04F-4A9F-94BF-85D43F3DFD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電力データ0610以降_300N!$K$73:$K$78</c:f>
              <c:numCache>
                <c:formatCode>#,##0</c:formatCode>
                <c:ptCount val="6"/>
                <c:pt idx="0">
                  <c:v>7988</c:v>
                </c:pt>
                <c:pt idx="1">
                  <c:v>15556</c:v>
                </c:pt>
                <c:pt idx="2">
                  <c:v>23054</c:v>
                </c:pt>
                <c:pt idx="3">
                  <c:v>7568</c:v>
                </c:pt>
                <c:pt idx="4">
                  <c:v>15066</c:v>
                </c:pt>
                <c:pt idx="5">
                  <c:v>7498</c:v>
                </c:pt>
              </c:numCache>
            </c:numRef>
          </c:xVal>
          <c:yVal>
            <c:numRef>
              <c:f>電力データ0610以降_300N!$L$73:$L$78</c:f>
              <c:numCache>
                <c:formatCode>General</c:formatCode>
                <c:ptCount val="6"/>
                <c:pt idx="0">
                  <c:v>3.5725806451612829E-2</c:v>
                </c:pt>
                <c:pt idx="1">
                  <c:v>0.11795161290322431</c:v>
                </c:pt>
                <c:pt idx="2">
                  <c:v>0.18108064516128985</c:v>
                </c:pt>
                <c:pt idx="3">
                  <c:v>8.2225806451611483E-2</c:v>
                </c:pt>
                <c:pt idx="4">
                  <c:v>0.14535483870967703</c:v>
                </c:pt>
                <c:pt idx="5">
                  <c:v>6.3129032258065543E-2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電力データ0610以降_300N!$J$73:$J$78</c15:f>
                <c15:dlblRangeCache>
                  <c:ptCount val="6"/>
                  <c:pt idx="0">
                    <c:v>4M-3M</c:v>
                  </c:pt>
                  <c:pt idx="1">
                    <c:v>4M-2M</c:v>
                  </c:pt>
                  <c:pt idx="2">
                    <c:v>4M-1M</c:v>
                  </c:pt>
                  <c:pt idx="3">
                    <c:v>3M-2M</c:v>
                  </c:pt>
                  <c:pt idx="4">
                    <c:v>3M-1M</c:v>
                  </c:pt>
                  <c:pt idx="5">
                    <c:v>2M-1M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04F-4A9F-94BF-85D43F3DFD9A}"/>
            </c:ext>
          </c:extLst>
        </c:ser>
        <c:ser>
          <c:idx val="1"/>
          <c:order val="1"/>
          <c:tx>
            <c:strRef>
              <c:f>電力データ0610以降_300N!$N$71:$N$72</c:f>
              <c:strCache>
                <c:ptCount val="2"/>
                <c:pt idx="0">
                  <c:v>125MHz</c:v>
                </c:pt>
                <c:pt idx="1">
                  <c:v>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電力データ0610以降_300N!$M$73:$M$78</c:f>
              <c:numCache>
                <c:formatCode>#,##0</c:formatCode>
                <c:ptCount val="6"/>
                <c:pt idx="0">
                  <c:v>7988</c:v>
                </c:pt>
                <c:pt idx="1">
                  <c:v>15556</c:v>
                </c:pt>
                <c:pt idx="2">
                  <c:v>23054</c:v>
                </c:pt>
                <c:pt idx="3">
                  <c:v>7568</c:v>
                </c:pt>
                <c:pt idx="4">
                  <c:v>15066</c:v>
                </c:pt>
                <c:pt idx="5">
                  <c:v>7498</c:v>
                </c:pt>
              </c:numCache>
            </c:numRef>
          </c:xVal>
          <c:yVal>
            <c:numRef>
              <c:f>電力データ0610以降_300N!$N$73:$N$78</c:f>
              <c:numCache>
                <c:formatCode>General</c:formatCode>
                <c:ptCount val="6"/>
                <c:pt idx="0">
                  <c:v>0.10199999999999898</c:v>
                </c:pt>
                <c:pt idx="1">
                  <c:v>0.24249999999999972</c:v>
                </c:pt>
                <c:pt idx="2">
                  <c:v>0.26651612903225841</c:v>
                </c:pt>
                <c:pt idx="3">
                  <c:v>0.14050000000000074</c:v>
                </c:pt>
                <c:pt idx="4">
                  <c:v>0.16451612903225943</c:v>
                </c:pt>
                <c:pt idx="5">
                  <c:v>2.4016129032258693E-2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4F-4A9F-94BF-85D43F3DFD9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4267568"/>
        <c:axId val="1879849503"/>
      </c:scatterChart>
      <c:valAx>
        <c:axId val="4426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LUT</a:t>
                </a:r>
                <a:r>
                  <a:rPr lang="ja-JP" altLang="en-US"/>
                  <a:t>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79849503"/>
        <c:crosses val="autoZero"/>
        <c:crossBetween val="midCat"/>
      </c:valAx>
      <c:valAx>
        <c:axId val="187984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</a:t>
                </a:r>
                <a:r>
                  <a:rPr lang="en-US" altLang="ja-JP"/>
                  <a:t>[W]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4267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（差分）</a:t>
            </a:r>
            <a:r>
              <a:rPr lang="en-US" altLang="ja-JP"/>
              <a:t>LUT</a:t>
            </a:r>
            <a:r>
              <a:rPr lang="ja-JP" altLang="en-US"/>
              <a:t>数と電力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電力データ0610以降_300N!$K$86:$K$87</c:f>
              <c:strCache>
                <c:ptCount val="2"/>
                <c:pt idx="0">
                  <c:v>62.5MHz</c:v>
                </c:pt>
                <c:pt idx="1">
                  <c:v>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BE6B7F3-1D51-4E90-9CF5-979DEF710DD6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067-4978-9D2D-1873C71D7A6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275D23B-4B3A-407B-A0D5-E370A4B5D53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067-4978-9D2D-1873C71D7A6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37D8963-C4A0-4AB2-A38D-1094427FA50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067-4978-9D2D-1873C71D7A6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76A49FD-2A32-4B9C-8767-4502C07259A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067-4978-9D2D-1873C71D7A6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C70D830-5AAB-4275-BD4B-7BC16679266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067-4978-9D2D-1873C71D7A6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4D78D9C-37E8-4452-B2CC-F2759151D9E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067-4978-9D2D-1873C71D7A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電力データ0610以降_300N!$J$88:$J$93</c:f>
              <c:numCache>
                <c:formatCode>#,##0</c:formatCode>
                <c:ptCount val="6"/>
                <c:pt idx="0">
                  <c:v>7988</c:v>
                </c:pt>
                <c:pt idx="1">
                  <c:v>15556</c:v>
                </c:pt>
                <c:pt idx="2">
                  <c:v>23054</c:v>
                </c:pt>
                <c:pt idx="3">
                  <c:v>7568</c:v>
                </c:pt>
                <c:pt idx="4">
                  <c:v>15066</c:v>
                </c:pt>
                <c:pt idx="5">
                  <c:v>7498</c:v>
                </c:pt>
              </c:numCache>
            </c:numRef>
          </c:xVal>
          <c:yVal>
            <c:numRef>
              <c:f>電力データ0610以降_300N!$K$88:$K$93</c:f>
              <c:numCache>
                <c:formatCode>General</c:formatCode>
                <c:ptCount val="6"/>
                <c:pt idx="0">
                  <c:v>3.9659677419354722E-2</c:v>
                </c:pt>
                <c:pt idx="1">
                  <c:v>0.11812903225806104</c:v>
                </c:pt>
                <c:pt idx="2">
                  <c:v>0.18467741935483772</c:v>
                </c:pt>
                <c:pt idx="3">
                  <c:v>7.8469354838706318E-2</c:v>
                </c:pt>
                <c:pt idx="4">
                  <c:v>0.145017741935483</c:v>
                </c:pt>
                <c:pt idx="5">
                  <c:v>6.6548387096776684E-2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電力データ0610以降_300N!$I$88:$I$93</c15:f>
                <c15:dlblRangeCache>
                  <c:ptCount val="6"/>
                  <c:pt idx="0">
                    <c:v>4M-3M</c:v>
                  </c:pt>
                  <c:pt idx="1">
                    <c:v>4M-2M</c:v>
                  </c:pt>
                  <c:pt idx="2">
                    <c:v>4M-1M</c:v>
                  </c:pt>
                  <c:pt idx="3">
                    <c:v>3M-2M</c:v>
                  </c:pt>
                  <c:pt idx="4">
                    <c:v>3M-1M</c:v>
                  </c:pt>
                  <c:pt idx="5">
                    <c:v>2M-1M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067-4978-9D2D-1873C71D7A67}"/>
            </c:ext>
          </c:extLst>
        </c:ser>
        <c:ser>
          <c:idx val="1"/>
          <c:order val="1"/>
          <c:tx>
            <c:strRef>
              <c:f>電力データ0610以降_300N!$M$86:$M$87</c:f>
              <c:strCache>
                <c:ptCount val="2"/>
                <c:pt idx="0">
                  <c:v>125MHz</c:v>
                </c:pt>
                <c:pt idx="1">
                  <c:v>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F37B085-B0B3-4B0D-A869-717C4863791B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067-4978-9D2D-1873C71D7A6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2406C17-7533-4B13-85C0-3E99723AD57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067-4978-9D2D-1873C71D7A6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71A9E77-358F-4EDB-B471-5AF3AE4B3D8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067-4978-9D2D-1873C71D7A6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7163E2C-797C-4ADE-AEBE-A7B53F27B75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067-4978-9D2D-1873C71D7A6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191C0E5-AAD1-4388-83CD-7CACFD16687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067-4978-9D2D-1873C71D7A6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42AAA90-E6BD-4A2E-95F5-FD2A11DC59C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067-4978-9D2D-1873C71D7A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電力データ0610以降_300N!$L$88:$L$93</c:f>
              <c:numCache>
                <c:formatCode>#,##0</c:formatCode>
                <c:ptCount val="6"/>
                <c:pt idx="0">
                  <c:v>7988</c:v>
                </c:pt>
                <c:pt idx="1">
                  <c:v>15556</c:v>
                </c:pt>
                <c:pt idx="2">
                  <c:v>23054</c:v>
                </c:pt>
                <c:pt idx="3">
                  <c:v>7568</c:v>
                </c:pt>
                <c:pt idx="4">
                  <c:v>15066</c:v>
                </c:pt>
                <c:pt idx="5">
                  <c:v>7498</c:v>
                </c:pt>
              </c:numCache>
            </c:numRef>
          </c:xVal>
          <c:yVal>
            <c:numRef>
              <c:f>電力データ0610以降_300N!$M$88:$M$93</c:f>
              <c:numCache>
                <c:formatCode>General</c:formatCode>
                <c:ptCount val="6"/>
                <c:pt idx="0">
                  <c:v>0.10451612903225582</c:v>
                </c:pt>
                <c:pt idx="1">
                  <c:v>0.24311290322580614</c:v>
                </c:pt>
                <c:pt idx="2">
                  <c:v>0.30714516129032177</c:v>
                </c:pt>
                <c:pt idx="3">
                  <c:v>0.13859677419355032</c:v>
                </c:pt>
                <c:pt idx="4">
                  <c:v>0.20262903225806594</c:v>
                </c:pt>
                <c:pt idx="5">
                  <c:v>6.4032258064515624E-2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電力データ0610以降_300N!$I$88:$I$93</c15:f>
                <c15:dlblRangeCache>
                  <c:ptCount val="6"/>
                  <c:pt idx="0">
                    <c:v>4M-3M</c:v>
                  </c:pt>
                  <c:pt idx="1">
                    <c:v>4M-2M</c:v>
                  </c:pt>
                  <c:pt idx="2">
                    <c:v>4M-1M</c:v>
                  </c:pt>
                  <c:pt idx="3">
                    <c:v>3M-2M</c:v>
                  </c:pt>
                  <c:pt idx="4">
                    <c:v>3M-1M</c:v>
                  </c:pt>
                  <c:pt idx="5">
                    <c:v>2M-1M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E067-4978-9D2D-1873C71D7A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78495520"/>
        <c:axId val="2140757008"/>
      </c:scatterChart>
      <c:valAx>
        <c:axId val="127849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LUT</a:t>
                </a:r>
                <a:r>
                  <a:rPr lang="ja-JP" altLang="en-US"/>
                  <a:t>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57008"/>
        <c:crosses val="autoZero"/>
        <c:crossBetween val="midCat"/>
      </c:valAx>
      <c:valAx>
        <c:axId val="214075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電力［</a:t>
                </a:r>
                <a:r>
                  <a:rPr lang="en-US" altLang="ja-JP"/>
                  <a:t>W</a:t>
                </a:r>
                <a:r>
                  <a:rPr lang="ja-JP" altLang="en-US"/>
                  <a:t>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8495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電力比較（動作時）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電力データ0610以降_300N!$E$71:$E$72</c:f>
              <c:strCache>
                <c:ptCount val="2"/>
                <c:pt idx="0">
                  <c:v>62.5MHz</c:v>
                </c:pt>
                <c:pt idx="1">
                  <c:v>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電力データ0610以降_300N!$C$73:$C$76</c:f>
              <c:strCache>
                <c:ptCount val="4"/>
                <c:pt idx="0">
                  <c:v>300N4M</c:v>
                </c:pt>
                <c:pt idx="1">
                  <c:v>300N3M</c:v>
                </c:pt>
                <c:pt idx="2">
                  <c:v>300N2M </c:v>
                </c:pt>
                <c:pt idx="3">
                  <c:v>300N1M</c:v>
                </c:pt>
              </c:strCache>
            </c:strRef>
          </c:cat>
          <c:val>
            <c:numRef>
              <c:f>電力データ0610以降_300N!$E$73:$E$76</c:f>
              <c:numCache>
                <c:formatCode>General</c:formatCode>
                <c:ptCount val="4"/>
                <c:pt idx="0">
                  <c:v>1.885</c:v>
                </c:pt>
                <c:pt idx="1">
                  <c:v>1.8492741935483872</c:v>
                </c:pt>
                <c:pt idx="2">
                  <c:v>1.7670483870967757</c:v>
                </c:pt>
                <c:pt idx="3">
                  <c:v>1.7039193548387102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6B-40E2-B89D-0E497A231E32}"/>
            </c:ext>
          </c:extLst>
        </c:ser>
        <c:ser>
          <c:idx val="1"/>
          <c:order val="1"/>
          <c:tx>
            <c:strRef>
              <c:f>電力データ0610以降_300N!$G$71:$G$72</c:f>
              <c:strCache>
                <c:ptCount val="2"/>
                <c:pt idx="0">
                  <c:v>125MHz</c:v>
                </c:pt>
                <c:pt idx="1">
                  <c:v>POWER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電力データ0610以降_300N!$C$73:$C$76</c:f>
              <c:strCache>
                <c:ptCount val="4"/>
                <c:pt idx="0">
                  <c:v>300N4M</c:v>
                </c:pt>
                <c:pt idx="1">
                  <c:v>300N3M</c:v>
                </c:pt>
                <c:pt idx="2">
                  <c:v>300N2M </c:v>
                </c:pt>
                <c:pt idx="3">
                  <c:v>300N1M</c:v>
                </c:pt>
              </c:strCache>
            </c:strRef>
          </c:cat>
          <c:val>
            <c:numRef>
              <c:f>電力データ0610以降_300N!$G$73:$G$76</c:f>
              <c:numCache>
                <c:formatCode>General</c:formatCode>
                <c:ptCount val="4"/>
                <c:pt idx="0">
                  <c:v>2.3286935483870961</c:v>
                </c:pt>
                <c:pt idx="1">
                  <c:v>2.2266935483870971</c:v>
                </c:pt>
                <c:pt idx="2">
                  <c:v>2.0861935483870964</c:v>
                </c:pt>
                <c:pt idx="3">
                  <c:v>2.0621774193548377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6B-40E2-B89D-0E497A231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679664"/>
        <c:axId val="688192032"/>
      </c:lineChart>
      <c:catAx>
        <c:axId val="113267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回路名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192032"/>
        <c:crosses val="autoZero"/>
        <c:auto val="1"/>
        <c:lblAlgn val="ctr"/>
        <c:lblOffset val="100"/>
        <c:noMultiLvlLbl val="0"/>
      </c:catAx>
      <c:valAx>
        <c:axId val="688192032"/>
        <c:scaling>
          <c:orientation val="minMax"/>
          <c:max val="2.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電力［</a:t>
                </a:r>
                <a:r>
                  <a:rPr lang="en-US" altLang="ja-JP"/>
                  <a:t>W</a:t>
                </a:r>
                <a:r>
                  <a:rPr lang="ja-JP" altLang="en-US"/>
                  <a:t>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267966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電力比較（動作時</a:t>
            </a:r>
            <a:r>
              <a:rPr lang="en-US" altLang="ja-JP"/>
              <a:t>‐</a:t>
            </a:r>
            <a:r>
              <a:rPr lang="ja-JP" altLang="en-US"/>
              <a:t>停止時）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8.6775371828521436E-2"/>
          <c:y val="0.20106481481481481"/>
          <c:w val="0.86177318460192476"/>
          <c:h val="0.58563247302420529"/>
        </c:manualLayout>
      </c:layout>
      <c:lineChart>
        <c:grouping val="standard"/>
        <c:varyColors val="0"/>
        <c:ser>
          <c:idx val="0"/>
          <c:order val="0"/>
          <c:tx>
            <c:strRef>
              <c:f>電力データ0610以降_300N!$E$86:$E$87</c:f>
              <c:strCache>
                <c:ptCount val="2"/>
                <c:pt idx="0">
                  <c:v>62.5MHz</c:v>
                </c:pt>
                <c:pt idx="1">
                  <c:v>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電力データ0610以降_300N!$C$88:$C$91</c:f>
              <c:strCache>
                <c:ptCount val="4"/>
                <c:pt idx="0">
                  <c:v>300N4M</c:v>
                </c:pt>
                <c:pt idx="1">
                  <c:v>300N3M</c:v>
                </c:pt>
                <c:pt idx="2">
                  <c:v>300N2M </c:v>
                </c:pt>
                <c:pt idx="3">
                  <c:v>300N1M</c:v>
                </c:pt>
              </c:strCache>
            </c:strRef>
          </c:cat>
          <c:val>
            <c:numRef>
              <c:f>電力データ0610以降_300N!$E$88:$E$91</c:f>
              <c:numCache>
                <c:formatCode>General</c:formatCode>
                <c:ptCount val="4"/>
                <c:pt idx="0">
                  <c:v>0.35011290322580546</c:v>
                </c:pt>
                <c:pt idx="1">
                  <c:v>0.31045322580645074</c:v>
                </c:pt>
                <c:pt idx="2">
                  <c:v>0.23198387096774442</c:v>
                </c:pt>
                <c:pt idx="3">
                  <c:v>0.16543548387096774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DE-4BC2-BDBA-C75CCE44229F}"/>
            </c:ext>
          </c:extLst>
        </c:ser>
        <c:ser>
          <c:idx val="1"/>
          <c:order val="1"/>
          <c:tx>
            <c:strRef>
              <c:f>電力データ0610以降_300N!$G$86:$G$87</c:f>
              <c:strCache>
                <c:ptCount val="2"/>
                <c:pt idx="0">
                  <c:v>125MHz</c:v>
                </c:pt>
                <c:pt idx="1">
                  <c:v>POWER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電力データ0610以降_300N!$C$88:$C$91</c:f>
              <c:strCache>
                <c:ptCount val="4"/>
                <c:pt idx="0">
                  <c:v>300N4M</c:v>
                </c:pt>
                <c:pt idx="1">
                  <c:v>300N3M</c:v>
                </c:pt>
                <c:pt idx="2">
                  <c:v>300N2M </c:v>
                </c:pt>
                <c:pt idx="3">
                  <c:v>300N1M</c:v>
                </c:pt>
              </c:strCache>
            </c:strRef>
          </c:cat>
          <c:val>
            <c:numRef>
              <c:f>電力データ0610以降_300N!$G$88:$G$91</c:f>
              <c:numCache>
                <c:formatCode>General</c:formatCode>
                <c:ptCount val="4"/>
                <c:pt idx="0">
                  <c:v>0.70559677419354716</c:v>
                </c:pt>
                <c:pt idx="1">
                  <c:v>0.60108064516129134</c:v>
                </c:pt>
                <c:pt idx="2">
                  <c:v>0.46248387096774102</c:v>
                </c:pt>
                <c:pt idx="3">
                  <c:v>0.39845161290322539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BDE-4BC2-BDBA-C75CCE442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111040"/>
        <c:axId val="510022144"/>
      </c:lineChart>
      <c:catAx>
        <c:axId val="111111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回路名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10022144"/>
        <c:crosses val="autoZero"/>
        <c:auto val="1"/>
        <c:lblAlgn val="ctr"/>
        <c:lblOffset val="100"/>
        <c:noMultiLvlLbl val="0"/>
      </c:catAx>
      <c:valAx>
        <c:axId val="51002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電力［</a:t>
                </a:r>
                <a:r>
                  <a:rPr lang="en-US" altLang="ja-JP"/>
                  <a:t>W</a:t>
                </a:r>
                <a:r>
                  <a:rPr lang="ja-JP" altLang="en-US"/>
                  <a:t>］</a:t>
                </a:r>
              </a:p>
            </c:rich>
          </c:tx>
          <c:layout>
            <c:manualLayout>
              <c:xMode val="edge"/>
              <c:yMode val="edge"/>
              <c:x val="0"/>
              <c:y val="0.315077918301047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111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電力データ0610以降_300N!$C$101</c:f>
              <c:strCache>
                <c:ptCount val="1"/>
                <c:pt idx="0">
                  <c:v>62.5MHz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電力データ0610以降_300N!$B$103:$B$106</c:f>
              <c:strCache>
                <c:ptCount val="4"/>
                <c:pt idx="0">
                  <c:v>300N4M</c:v>
                </c:pt>
                <c:pt idx="1">
                  <c:v>300N3M</c:v>
                </c:pt>
                <c:pt idx="2">
                  <c:v>300N2M</c:v>
                </c:pt>
                <c:pt idx="3">
                  <c:v>300N1M</c:v>
                </c:pt>
              </c:strCache>
            </c:strRef>
          </c:cat>
          <c:val>
            <c:numRef>
              <c:f>電力データ0610以降_300N!$C$103:$C$106</c:f>
              <c:numCache>
                <c:formatCode>General</c:formatCode>
                <c:ptCount val="4"/>
                <c:pt idx="0">
                  <c:v>0.47899999999999998</c:v>
                </c:pt>
                <c:pt idx="1">
                  <c:v>0.45600000000000002</c:v>
                </c:pt>
                <c:pt idx="2">
                  <c:v>0.373</c:v>
                </c:pt>
                <c:pt idx="3">
                  <c:v>0.316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05-4997-8BE8-A00B2DFEA582}"/>
            </c:ext>
          </c:extLst>
        </c:ser>
        <c:ser>
          <c:idx val="1"/>
          <c:order val="1"/>
          <c:tx>
            <c:strRef>
              <c:f>電力データ0610以降_300N!$D$101</c:f>
              <c:strCache>
                <c:ptCount val="1"/>
                <c:pt idx="0">
                  <c:v>125MHz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電力データ0610以降_300N!$B$103:$B$106</c:f>
              <c:strCache>
                <c:ptCount val="4"/>
                <c:pt idx="0">
                  <c:v>300N4M</c:v>
                </c:pt>
                <c:pt idx="1">
                  <c:v>300N3M</c:v>
                </c:pt>
                <c:pt idx="2">
                  <c:v>300N2M</c:v>
                </c:pt>
                <c:pt idx="3">
                  <c:v>300N1M</c:v>
                </c:pt>
              </c:strCache>
            </c:strRef>
          </c:cat>
          <c:val>
            <c:numRef>
              <c:f>電力データ0610以降_300N!$D$103:$D$106</c:f>
              <c:numCache>
                <c:formatCode>General</c:formatCode>
                <c:ptCount val="4"/>
                <c:pt idx="0">
                  <c:v>0.88700000000000001</c:v>
                </c:pt>
                <c:pt idx="1">
                  <c:v>0.81200000000000006</c:v>
                </c:pt>
                <c:pt idx="2">
                  <c:v>0.66600000000000004</c:v>
                </c:pt>
                <c:pt idx="3">
                  <c:v>0.55300000000000005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05-4997-8BE8-A00B2DFEA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956592"/>
        <c:axId val="470445264"/>
      </c:lineChart>
      <c:catAx>
        <c:axId val="37795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445264"/>
        <c:crosses val="autoZero"/>
        <c:auto val="1"/>
        <c:lblAlgn val="ctr"/>
        <c:lblOffset val="100"/>
        <c:noMultiLvlLbl val="0"/>
      </c:catAx>
      <c:valAx>
        <c:axId val="47044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795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62.5MHz</a:t>
            </a:r>
            <a:r>
              <a:rPr lang="ja-JP" altLang="en-US"/>
              <a:t>）手法</a:t>
            </a:r>
            <a:r>
              <a:rPr lang="en-US" altLang="ja-JP"/>
              <a:t>1,2,</a:t>
            </a:r>
            <a:r>
              <a:rPr lang="ja-JP" altLang="en-US"/>
              <a:t>推定電力の</a:t>
            </a:r>
            <a:r>
              <a:rPr lang="en-US" altLang="ja-JP"/>
              <a:t>3</a:t>
            </a:r>
            <a:r>
              <a:rPr lang="ja-JP" altLang="en-US"/>
              <a:t>者比較  散布図</a:t>
            </a:r>
            <a:endParaRPr lang="en-US" altLang="ja-JP"/>
          </a:p>
        </c:rich>
      </c:tx>
      <c:layout>
        <c:manualLayout>
          <c:xMode val="edge"/>
          <c:yMode val="edge"/>
          <c:x val="0.20340679549409874"/>
          <c:y val="1.83206150918110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電力データ0610以降_300N!$R$101:$R$102</c:f>
              <c:strCache>
                <c:ptCount val="2"/>
                <c:pt idx="0">
                  <c:v>62.5MHz</c:v>
                </c:pt>
                <c:pt idx="1">
                  <c:v>Plan.1 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E385EF4-9F9D-40DF-AC10-AE044B4BC871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BFB9-44B0-B905-B311976C3EC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01C4026-AAC5-419D-A434-6F8B95F2703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FB9-44B0-B905-B311976C3EC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A2B34E2-F446-4E4F-8F85-6A44FC53FD5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FB9-44B0-B905-B311976C3EC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E29EA58-B0CC-4DA5-83D6-8CF9D78B55F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FB9-44B0-B905-B311976C3E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DE4C51F-A72D-40E3-B09A-C0E35FB9B3A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FB9-44B0-B905-B311976C3E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054A9B0-0806-40DB-97EF-2AFC746BE45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FB9-44B0-B905-B311976C3E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電力データ0610以降_300N!$Q$103:$Q$108</c:f>
              <c:numCache>
                <c:formatCode>#,##0</c:formatCode>
                <c:ptCount val="6"/>
                <c:pt idx="0">
                  <c:v>7988</c:v>
                </c:pt>
                <c:pt idx="1">
                  <c:v>15556</c:v>
                </c:pt>
                <c:pt idx="2">
                  <c:v>23054</c:v>
                </c:pt>
                <c:pt idx="3">
                  <c:v>7568</c:v>
                </c:pt>
                <c:pt idx="4">
                  <c:v>15066</c:v>
                </c:pt>
                <c:pt idx="5">
                  <c:v>7498</c:v>
                </c:pt>
              </c:numCache>
            </c:numRef>
          </c:xVal>
          <c:yVal>
            <c:numRef>
              <c:f>電力データ0610以降_300N!$R$103:$R$108</c:f>
              <c:numCache>
                <c:formatCode>General</c:formatCode>
                <c:ptCount val="6"/>
                <c:pt idx="0">
                  <c:v>3.5725806451612829E-2</c:v>
                </c:pt>
                <c:pt idx="1">
                  <c:v>0.11795161290322431</c:v>
                </c:pt>
                <c:pt idx="2">
                  <c:v>0.18108064516128985</c:v>
                </c:pt>
                <c:pt idx="3">
                  <c:v>8.2225806451611483E-2</c:v>
                </c:pt>
                <c:pt idx="4">
                  <c:v>0.14535483870967703</c:v>
                </c:pt>
                <c:pt idx="5">
                  <c:v>6.3129032258065543E-2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電力データ0610以降_300N!$I$104:$I$109</c15:f>
                <c15:dlblRangeCache>
                  <c:ptCount val="6"/>
                  <c:pt idx="0">
                    <c:v>4M-3M</c:v>
                  </c:pt>
                  <c:pt idx="1">
                    <c:v>4M-2M</c:v>
                  </c:pt>
                  <c:pt idx="2">
                    <c:v>4M-1M</c:v>
                  </c:pt>
                  <c:pt idx="3">
                    <c:v>3M-2M</c:v>
                  </c:pt>
                  <c:pt idx="4">
                    <c:v>3M-1M</c:v>
                  </c:pt>
                  <c:pt idx="5">
                    <c:v>2M-1M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FB9-44B0-B905-B311976C3ECC}"/>
            </c:ext>
          </c:extLst>
        </c:ser>
        <c:ser>
          <c:idx val="1"/>
          <c:order val="1"/>
          <c:tx>
            <c:strRef>
              <c:f>電力データ0610以降_300N!$S$101:$S$102</c:f>
              <c:strCache>
                <c:ptCount val="2"/>
                <c:pt idx="0">
                  <c:v>62.5MHz</c:v>
                </c:pt>
                <c:pt idx="1">
                  <c:v>Plan.2 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電力データ0610以降_300N!$Q$103:$Q$108</c:f>
              <c:numCache>
                <c:formatCode>#,##0</c:formatCode>
                <c:ptCount val="6"/>
                <c:pt idx="0">
                  <c:v>7988</c:v>
                </c:pt>
                <c:pt idx="1">
                  <c:v>15556</c:v>
                </c:pt>
                <c:pt idx="2">
                  <c:v>23054</c:v>
                </c:pt>
                <c:pt idx="3">
                  <c:v>7568</c:v>
                </c:pt>
                <c:pt idx="4">
                  <c:v>15066</c:v>
                </c:pt>
                <c:pt idx="5">
                  <c:v>7498</c:v>
                </c:pt>
              </c:numCache>
            </c:numRef>
          </c:xVal>
          <c:yVal>
            <c:numRef>
              <c:f>電力データ0610以降_300N!$S$103:$S$108</c:f>
              <c:numCache>
                <c:formatCode>General</c:formatCode>
                <c:ptCount val="6"/>
                <c:pt idx="0">
                  <c:v>3.9659677419354722E-2</c:v>
                </c:pt>
                <c:pt idx="1">
                  <c:v>0.11812903225806104</c:v>
                </c:pt>
                <c:pt idx="2">
                  <c:v>0.18467741935483772</c:v>
                </c:pt>
                <c:pt idx="3">
                  <c:v>7.8469354838706318E-2</c:v>
                </c:pt>
                <c:pt idx="4">
                  <c:v>0.145017741935483</c:v>
                </c:pt>
                <c:pt idx="5">
                  <c:v>6.6548387096776684E-2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B9-44B0-B905-B311976C3ECC}"/>
            </c:ext>
          </c:extLst>
        </c:ser>
        <c:ser>
          <c:idx val="2"/>
          <c:order val="2"/>
          <c:tx>
            <c:strRef>
              <c:f>電力データ0610以降_300N!$T$101:$T$102</c:f>
              <c:strCache>
                <c:ptCount val="2"/>
                <c:pt idx="0">
                  <c:v>62.5MHz</c:v>
                </c:pt>
                <c:pt idx="1">
                  <c:v>Estimation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電力データ0610以降_300N!$Q$103:$Q$108</c:f>
              <c:numCache>
                <c:formatCode>#,##0</c:formatCode>
                <c:ptCount val="6"/>
                <c:pt idx="0">
                  <c:v>7988</c:v>
                </c:pt>
                <c:pt idx="1">
                  <c:v>15556</c:v>
                </c:pt>
                <c:pt idx="2">
                  <c:v>23054</c:v>
                </c:pt>
                <c:pt idx="3">
                  <c:v>7568</c:v>
                </c:pt>
                <c:pt idx="4">
                  <c:v>15066</c:v>
                </c:pt>
                <c:pt idx="5">
                  <c:v>7498</c:v>
                </c:pt>
              </c:numCache>
            </c:numRef>
          </c:xVal>
          <c:yVal>
            <c:numRef>
              <c:f>電力データ0610以降_300N!$T$103:$T$108</c:f>
              <c:numCache>
                <c:formatCode>General</c:formatCode>
                <c:ptCount val="6"/>
                <c:pt idx="0">
                  <c:v>2.2999999999999965E-2</c:v>
                </c:pt>
                <c:pt idx="1">
                  <c:v>0.10599999999999998</c:v>
                </c:pt>
                <c:pt idx="2">
                  <c:v>0.16299999999999998</c:v>
                </c:pt>
                <c:pt idx="3">
                  <c:v>8.3000000000000018E-2</c:v>
                </c:pt>
                <c:pt idx="4">
                  <c:v>0.14000000000000001</c:v>
                </c:pt>
                <c:pt idx="5">
                  <c:v>5.6999999999999995E-2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B9-44B0-B905-B311976C3EC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78019792"/>
        <c:axId val="470441520"/>
      </c:scatterChart>
      <c:valAx>
        <c:axId val="37801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LUT</a:t>
                </a:r>
                <a:r>
                  <a:rPr lang="ja-JP" altLang="en-US"/>
                  <a:t>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441520"/>
        <c:crosses val="autoZero"/>
        <c:crossBetween val="midCat"/>
      </c:valAx>
      <c:valAx>
        <c:axId val="47044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</a:t>
                </a:r>
                <a:r>
                  <a:rPr lang="en-US" altLang="ja-JP"/>
                  <a:t>[W]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8019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baseline="0">
                <a:effectLst/>
              </a:rPr>
              <a:t>125MHz</a:t>
            </a:r>
            <a:r>
              <a:rPr lang="ja-JP" altLang="ja-JP" sz="1400" b="0" i="0" baseline="0">
                <a:effectLst/>
              </a:rPr>
              <a:t>）手法</a:t>
            </a:r>
            <a:r>
              <a:rPr lang="en-US" altLang="ja-JP" sz="1400" b="0" i="0" baseline="0">
                <a:effectLst/>
              </a:rPr>
              <a:t>1,2,</a:t>
            </a:r>
            <a:r>
              <a:rPr lang="ja-JP" altLang="ja-JP" sz="1400" b="0" i="0" baseline="0">
                <a:effectLst/>
              </a:rPr>
              <a:t>推定電力の</a:t>
            </a:r>
            <a:r>
              <a:rPr lang="en-US" altLang="ja-JP" sz="1400" b="0" i="0" baseline="0">
                <a:effectLst/>
              </a:rPr>
              <a:t>3</a:t>
            </a:r>
            <a:r>
              <a:rPr lang="ja-JP" altLang="ja-JP" sz="1400" b="0" i="0" baseline="0">
                <a:effectLst/>
              </a:rPr>
              <a:t>者比較  散布図</a:t>
            </a:r>
            <a:endParaRPr lang="ja-JP" altLang="ja-JP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電力データ0610以降_300N!$V$101:$V$102</c:f>
              <c:strCache>
                <c:ptCount val="2"/>
                <c:pt idx="0">
                  <c:v>125MHz</c:v>
                </c:pt>
                <c:pt idx="1">
                  <c:v>Plan.1 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1AC5EB4-1FF1-4BD1-877B-A8843D1A8178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F23-4FA8-8DAA-4D733B65DA6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E1AB869-DF6A-43B5-A279-981A5815822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F23-4FA8-8DAA-4D733B65DA6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A34791F-F3F4-41FD-B55F-3FAFF62406E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F23-4FA8-8DAA-4D733B65DA6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8D5E067-3B5A-413F-98BB-E9F1966DD1E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F23-4FA8-8DAA-4D733B65DA6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0CBD1E2-803A-4045-9776-18931B13DB4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F23-4FA8-8DAA-4D733B65DA6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5C8A72A-0855-4E20-B542-EBC975ED32C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F23-4FA8-8DAA-4D733B65DA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電力データ0610以降_300N!$U$103:$U$108</c:f>
              <c:numCache>
                <c:formatCode>#,##0</c:formatCode>
                <c:ptCount val="6"/>
                <c:pt idx="0">
                  <c:v>7988</c:v>
                </c:pt>
                <c:pt idx="1">
                  <c:v>15556</c:v>
                </c:pt>
                <c:pt idx="2">
                  <c:v>23054</c:v>
                </c:pt>
                <c:pt idx="3">
                  <c:v>7568</c:v>
                </c:pt>
                <c:pt idx="4">
                  <c:v>15066</c:v>
                </c:pt>
                <c:pt idx="5">
                  <c:v>7498</c:v>
                </c:pt>
              </c:numCache>
            </c:numRef>
          </c:xVal>
          <c:yVal>
            <c:numRef>
              <c:f>電力データ0610以降_300N!$V$103:$V$108</c:f>
              <c:numCache>
                <c:formatCode>General</c:formatCode>
                <c:ptCount val="6"/>
                <c:pt idx="0">
                  <c:v>0.10199999999999898</c:v>
                </c:pt>
                <c:pt idx="1">
                  <c:v>0.24249999999999972</c:v>
                </c:pt>
                <c:pt idx="2">
                  <c:v>0.26651612903225841</c:v>
                </c:pt>
                <c:pt idx="3">
                  <c:v>0.14050000000000074</c:v>
                </c:pt>
                <c:pt idx="4">
                  <c:v>0.16451612903225943</c:v>
                </c:pt>
                <c:pt idx="5">
                  <c:v>2.4016129032258693E-2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電力データ0610以降_300N!$P$103:$P$108</c15:f>
                <c15:dlblRangeCache>
                  <c:ptCount val="6"/>
                  <c:pt idx="0">
                    <c:v>4M-3M</c:v>
                  </c:pt>
                  <c:pt idx="1">
                    <c:v>4M-2M</c:v>
                  </c:pt>
                  <c:pt idx="2">
                    <c:v>4M-1M</c:v>
                  </c:pt>
                  <c:pt idx="3">
                    <c:v>3M-2M</c:v>
                  </c:pt>
                  <c:pt idx="4">
                    <c:v>3M-1M</c:v>
                  </c:pt>
                  <c:pt idx="5">
                    <c:v>2M-1M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F23-4FA8-8DAA-4D733B65DA6B}"/>
            </c:ext>
          </c:extLst>
        </c:ser>
        <c:ser>
          <c:idx val="1"/>
          <c:order val="1"/>
          <c:tx>
            <c:strRef>
              <c:f>電力データ0610以降_300N!$W$101:$W$102</c:f>
              <c:strCache>
                <c:ptCount val="2"/>
                <c:pt idx="0">
                  <c:v>125MHz</c:v>
                </c:pt>
                <c:pt idx="1">
                  <c:v>Plan.2 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電力データ0610以降_300N!$U$103:$U$108</c:f>
              <c:numCache>
                <c:formatCode>#,##0</c:formatCode>
                <c:ptCount val="6"/>
                <c:pt idx="0">
                  <c:v>7988</c:v>
                </c:pt>
                <c:pt idx="1">
                  <c:v>15556</c:v>
                </c:pt>
                <c:pt idx="2">
                  <c:v>23054</c:v>
                </c:pt>
                <c:pt idx="3">
                  <c:v>7568</c:v>
                </c:pt>
                <c:pt idx="4">
                  <c:v>15066</c:v>
                </c:pt>
                <c:pt idx="5">
                  <c:v>7498</c:v>
                </c:pt>
              </c:numCache>
            </c:numRef>
          </c:xVal>
          <c:yVal>
            <c:numRef>
              <c:f>電力データ0610以降_300N!$W$103:$W$108</c:f>
              <c:numCache>
                <c:formatCode>General</c:formatCode>
                <c:ptCount val="6"/>
                <c:pt idx="0">
                  <c:v>0.10451612903225582</c:v>
                </c:pt>
                <c:pt idx="1">
                  <c:v>0.24311290322580614</c:v>
                </c:pt>
                <c:pt idx="2">
                  <c:v>0.30714516129032177</c:v>
                </c:pt>
                <c:pt idx="3">
                  <c:v>0.13859677419355032</c:v>
                </c:pt>
                <c:pt idx="4">
                  <c:v>0.20262903225806594</c:v>
                </c:pt>
                <c:pt idx="5">
                  <c:v>6.4032258064515624E-2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23-4FA8-8DAA-4D733B65DA6B}"/>
            </c:ext>
          </c:extLst>
        </c:ser>
        <c:ser>
          <c:idx val="2"/>
          <c:order val="2"/>
          <c:tx>
            <c:strRef>
              <c:f>電力データ0610以降_300N!$X$101:$X$102</c:f>
              <c:strCache>
                <c:ptCount val="2"/>
                <c:pt idx="0">
                  <c:v>125MHz</c:v>
                </c:pt>
                <c:pt idx="1">
                  <c:v>Estimation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電力データ0610以降_300N!$U$103:$U$108</c:f>
              <c:numCache>
                <c:formatCode>#,##0</c:formatCode>
                <c:ptCount val="6"/>
                <c:pt idx="0">
                  <c:v>7988</c:v>
                </c:pt>
                <c:pt idx="1">
                  <c:v>15556</c:v>
                </c:pt>
                <c:pt idx="2">
                  <c:v>23054</c:v>
                </c:pt>
                <c:pt idx="3">
                  <c:v>7568</c:v>
                </c:pt>
                <c:pt idx="4">
                  <c:v>15066</c:v>
                </c:pt>
                <c:pt idx="5">
                  <c:v>7498</c:v>
                </c:pt>
              </c:numCache>
            </c:numRef>
          </c:xVal>
          <c:yVal>
            <c:numRef>
              <c:f>電力データ0610以降_300N!$X$103:$X$108</c:f>
              <c:numCache>
                <c:formatCode>General</c:formatCode>
                <c:ptCount val="6"/>
                <c:pt idx="0">
                  <c:v>7.4999999999999956E-2</c:v>
                </c:pt>
                <c:pt idx="1">
                  <c:v>0.22099999999999997</c:v>
                </c:pt>
                <c:pt idx="2">
                  <c:v>0.33399999999999996</c:v>
                </c:pt>
                <c:pt idx="3">
                  <c:v>0.14600000000000002</c:v>
                </c:pt>
                <c:pt idx="4">
                  <c:v>0.25900000000000001</c:v>
                </c:pt>
                <c:pt idx="5">
                  <c:v>0.11299999999999999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23-4FA8-8DAA-4D733B65DA6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76332368"/>
        <c:axId val="380181760"/>
      </c:scatterChart>
      <c:valAx>
        <c:axId val="37633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LUT</a:t>
                </a:r>
                <a:r>
                  <a:rPr lang="ja-JP" altLang="en-US"/>
                  <a:t>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0181760"/>
        <c:crosses val="autoZero"/>
        <c:crossBetween val="midCat"/>
      </c:valAx>
      <c:valAx>
        <c:axId val="38018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</a:t>
                </a:r>
                <a:r>
                  <a:rPr lang="en-US" altLang="ja-JP"/>
                  <a:t>[W]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6332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電力データ0610以降_300N!$AH$101:$AH$102</c:f>
              <c:strCache>
                <c:ptCount val="2"/>
                <c:pt idx="0">
                  <c:v>62.5MHz</c:v>
                </c:pt>
                <c:pt idx="1">
                  <c:v>Plan.1 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電力データ0610以降_300N!$AG$103:$AG$108</c:f>
              <c:numCache>
                <c:formatCode>#,##0</c:formatCode>
                <c:ptCount val="6"/>
                <c:pt idx="0">
                  <c:v>7988</c:v>
                </c:pt>
                <c:pt idx="1">
                  <c:v>15556</c:v>
                </c:pt>
                <c:pt idx="2">
                  <c:v>23054</c:v>
                </c:pt>
                <c:pt idx="3">
                  <c:v>7568</c:v>
                </c:pt>
                <c:pt idx="4">
                  <c:v>15066</c:v>
                </c:pt>
                <c:pt idx="5">
                  <c:v>7498</c:v>
                </c:pt>
              </c:numCache>
            </c:numRef>
          </c:xVal>
          <c:yVal>
            <c:numRef>
              <c:f>電力データ0610以降_300N!$AH$103:$AH$108</c:f>
              <c:numCache>
                <c:formatCode>General</c:formatCode>
                <c:ptCount val="6"/>
                <c:pt idx="0">
                  <c:v>3.5725806451612829E-2</c:v>
                </c:pt>
                <c:pt idx="1">
                  <c:v>0.11795161290322431</c:v>
                </c:pt>
                <c:pt idx="2">
                  <c:v>0.18108064516128985</c:v>
                </c:pt>
                <c:pt idx="3">
                  <c:v>8.2225806451611483E-2</c:v>
                </c:pt>
                <c:pt idx="4">
                  <c:v>0.14535483870967703</c:v>
                </c:pt>
                <c:pt idx="5">
                  <c:v>6.3129032258065543E-2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5F-47FE-9A89-BA7BBC7261A8}"/>
            </c:ext>
          </c:extLst>
        </c:ser>
        <c:ser>
          <c:idx val="1"/>
          <c:order val="1"/>
          <c:tx>
            <c:strRef>
              <c:f>電力データ0610以降_300N!$AI$101:$AI$102</c:f>
              <c:strCache>
                <c:ptCount val="2"/>
                <c:pt idx="0">
                  <c:v>62.5MHz</c:v>
                </c:pt>
                <c:pt idx="1">
                  <c:v>Plan.2 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電力データ0610以降_300N!$AG$103:$AG$108</c:f>
              <c:numCache>
                <c:formatCode>#,##0</c:formatCode>
                <c:ptCount val="6"/>
                <c:pt idx="0">
                  <c:v>7988</c:v>
                </c:pt>
                <c:pt idx="1">
                  <c:v>15556</c:v>
                </c:pt>
                <c:pt idx="2">
                  <c:v>23054</c:v>
                </c:pt>
                <c:pt idx="3">
                  <c:v>7568</c:v>
                </c:pt>
                <c:pt idx="4">
                  <c:v>15066</c:v>
                </c:pt>
                <c:pt idx="5">
                  <c:v>7498</c:v>
                </c:pt>
              </c:numCache>
            </c:numRef>
          </c:xVal>
          <c:yVal>
            <c:numRef>
              <c:f>電力データ0610以降_300N!$AI$103:$AI$108</c:f>
              <c:numCache>
                <c:formatCode>General</c:formatCode>
                <c:ptCount val="6"/>
                <c:pt idx="0">
                  <c:v>3.9659677419354722E-2</c:v>
                </c:pt>
                <c:pt idx="1">
                  <c:v>0.11812903225806104</c:v>
                </c:pt>
                <c:pt idx="2">
                  <c:v>0.18467741935483772</c:v>
                </c:pt>
                <c:pt idx="3">
                  <c:v>7.8469354838706318E-2</c:v>
                </c:pt>
                <c:pt idx="4">
                  <c:v>0.145017741935483</c:v>
                </c:pt>
                <c:pt idx="5">
                  <c:v>6.6548387096776684E-2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5F-47FE-9A89-BA7BBC7261A8}"/>
            </c:ext>
          </c:extLst>
        </c:ser>
        <c:ser>
          <c:idx val="2"/>
          <c:order val="2"/>
          <c:tx>
            <c:strRef>
              <c:f>電力データ0610以降_300N!$AJ$101:$AJ$102</c:f>
              <c:strCache>
                <c:ptCount val="2"/>
                <c:pt idx="0">
                  <c:v>62.5MHz</c:v>
                </c:pt>
                <c:pt idx="1">
                  <c:v>Estimation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電力データ0610以降_300N!$AG$103:$AG$108</c:f>
              <c:numCache>
                <c:formatCode>#,##0</c:formatCode>
                <c:ptCount val="6"/>
                <c:pt idx="0">
                  <c:v>7988</c:v>
                </c:pt>
                <c:pt idx="1">
                  <c:v>15556</c:v>
                </c:pt>
                <c:pt idx="2">
                  <c:v>23054</c:v>
                </c:pt>
                <c:pt idx="3">
                  <c:v>7568</c:v>
                </c:pt>
                <c:pt idx="4">
                  <c:v>15066</c:v>
                </c:pt>
                <c:pt idx="5">
                  <c:v>7498</c:v>
                </c:pt>
              </c:numCache>
            </c:numRef>
          </c:xVal>
          <c:yVal>
            <c:numRef>
              <c:f>電力データ0610以降_300N!$AJ$103:$AJ$108</c:f>
              <c:numCache>
                <c:formatCode>General</c:formatCode>
                <c:ptCount val="6"/>
                <c:pt idx="0">
                  <c:v>2.2999999999999965E-2</c:v>
                </c:pt>
                <c:pt idx="1">
                  <c:v>0.10599999999999998</c:v>
                </c:pt>
                <c:pt idx="2">
                  <c:v>0.16299999999999998</c:v>
                </c:pt>
                <c:pt idx="3">
                  <c:v>8.3000000000000018E-2</c:v>
                </c:pt>
                <c:pt idx="4">
                  <c:v>0.14000000000000001</c:v>
                </c:pt>
                <c:pt idx="5">
                  <c:v>5.6999999999999995E-2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5F-47FE-9A89-BA7BBC7261A8}"/>
            </c:ext>
          </c:extLst>
        </c:ser>
        <c:ser>
          <c:idx val="3"/>
          <c:order val="3"/>
          <c:tx>
            <c:strRef>
              <c:f>電力データ0610以降_300N!$AK$101:$AK$102</c:f>
              <c:strCache>
                <c:ptCount val="2"/>
                <c:pt idx="0">
                  <c:v>125MHz</c:v>
                </c:pt>
                <c:pt idx="1">
                  <c:v>Plan.1 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電力データ0610以降_300N!$AG$103:$AG$108</c:f>
              <c:numCache>
                <c:formatCode>#,##0</c:formatCode>
                <c:ptCount val="6"/>
                <c:pt idx="0">
                  <c:v>7988</c:v>
                </c:pt>
                <c:pt idx="1">
                  <c:v>15556</c:v>
                </c:pt>
                <c:pt idx="2">
                  <c:v>23054</c:v>
                </c:pt>
                <c:pt idx="3">
                  <c:v>7568</c:v>
                </c:pt>
                <c:pt idx="4">
                  <c:v>15066</c:v>
                </c:pt>
                <c:pt idx="5">
                  <c:v>7498</c:v>
                </c:pt>
              </c:numCache>
            </c:numRef>
          </c:xVal>
          <c:yVal>
            <c:numRef>
              <c:f>電力データ0610以降_300N!$AK$103:$AK$108</c:f>
              <c:numCache>
                <c:formatCode>General</c:formatCode>
                <c:ptCount val="6"/>
                <c:pt idx="0">
                  <c:v>0.10199999999999898</c:v>
                </c:pt>
                <c:pt idx="1">
                  <c:v>0.24249999999999972</c:v>
                </c:pt>
                <c:pt idx="2">
                  <c:v>0.26651612903225841</c:v>
                </c:pt>
                <c:pt idx="3">
                  <c:v>0.14050000000000074</c:v>
                </c:pt>
                <c:pt idx="4">
                  <c:v>0.16451612903225943</c:v>
                </c:pt>
                <c:pt idx="5">
                  <c:v>2.4016129032258693E-2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5F-47FE-9A89-BA7BBC7261A8}"/>
            </c:ext>
          </c:extLst>
        </c:ser>
        <c:ser>
          <c:idx val="4"/>
          <c:order val="4"/>
          <c:tx>
            <c:strRef>
              <c:f>電力データ0610以降_300N!$AL$101:$AL$102</c:f>
              <c:strCache>
                <c:ptCount val="2"/>
                <c:pt idx="0">
                  <c:v>125MHz</c:v>
                </c:pt>
                <c:pt idx="1">
                  <c:v>Plan.2 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電力データ0610以降_300N!$AG$103:$AG$108</c:f>
              <c:numCache>
                <c:formatCode>#,##0</c:formatCode>
                <c:ptCount val="6"/>
                <c:pt idx="0">
                  <c:v>7988</c:v>
                </c:pt>
                <c:pt idx="1">
                  <c:v>15556</c:v>
                </c:pt>
                <c:pt idx="2">
                  <c:v>23054</c:v>
                </c:pt>
                <c:pt idx="3">
                  <c:v>7568</c:v>
                </c:pt>
                <c:pt idx="4">
                  <c:v>15066</c:v>
                </c:pt>
                <c:pt idx="5">
                  <c:v>7498</c:v>
                </c:pt>
              </c:numCache>
            </c:numRef>
          </c:xVal>
          <c:yVal>
            <c:numRef>
              <c:f>電力データ0610以降_300N!$AL$103:$AL$108</c:f>
              <c:numCache>
                <c:formatCode>General</c:formatCode>
                <c:ptCount val="6"/>
                <c:pt idx="0">
                  <c:v>0.10451612903225582</c:v>
                </c:pt>
                <c:pt idx="1">
                  <c:v>0.24311290322580614</c:v>
                </c:pt>
                <c:pt idx="2">
                  <c:v>0.30714516129032177</c:v>
                </c:pt>
                <c:pt idx="3">
                  <c:v>0.13859677419355032</c:v>
                </c:pt>
                <c:pt idx="4">
                  <c:v>0.20262903225806594</c:v>
                </c:pt>
                <c:pt idx="5">
                  <c:v>6.4032258064515624E-2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5F-47FE-9A89-BA7BBC7261A8}"/>
            </c:ext>
          </c:extLst>
        </c:ser>
        <c:ser>
          <c:idx val="5"/>
          <c:order val="5"/>
          <c:tx>
            <c:strRef>
              <c:f>電力データ0610以降_300N!$AM$101:$AM$102</c:f>
              <c:strCache>
                <c:ptCount val="2"/>
                <c:pt idx="0">
                  <c:v>125MHz</c:v>
                </c:pt>
                <c:pt idx="1">
                  <c:v>Estimation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電力データ0610以降_300N!$AG$103:$AG$108</c:f>
              <c:numCache>
                <c:formatCode>#,##0</c:formatCode>
                <c:ptCount val="6"/>
                <c:pt idx="0">
                  <c:v>7988</c:v>
                </c:pt>
                <c:pt idx="1">
                  <c:v>15556</c:v>
                </c:pt>
                <c:pt idx="2">
                  <c:v>23054</c:v>
                </c:pt>
                <c:pt idx="3">
                  <c:v>7568</c:v>
                </c:pt>
                <c:pt idx="4">
                  <c:v>15066</c:v>
                </c:pt>
                <c:pt idx="5">
                  <c:v>7498</c:v>
                </c:pt>
              </c:numCache>
            </c:numRef>
          </c:xVal>
          <c:yVal>
            <c:numRef>
              <c:f>電力データ0610以降_300N!$AM$103:$AM$108</c:f>
              <c:numCache>
                <c:formatCode>General</c:formatCode>
                <c:ptCount val="6"/>
                <c:pt idx="0">
                  <c:v>7.4999999999999956E-2</c:v>
                </c:pt>
                <c:pt idx="1">
                  <c:v>0.22099999999999997</c:v>
                </c:pt>
                <c:pt idx="2">
                  <c:v>0.33399999999999996</c:v>
                </c:pt>
                <c:pt idx="3">
                  <c:v>0.14600000000000002</c:v>
                </c:pt>
                <c:pt idx="4">
                  <c:v>0.25900000000000001</c:v>
                </c:pt>
                <c:pt idx="5">
                  <c:v>0.11299999999999999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5F-47FE-9A89-BA7BBC726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318496"/>
        <c:axId val="380191328"/>
      </c:scatterChart>
      <c:valAx>
        <c:axId val="48031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0191328"/>
        <c:crosses val="autoZero"/>
        <c:crossBetween val="midCat"/>
      </c:valAx>
      <c:valAx>
        <c:axId val="38019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0318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baseline="0">
                <a:effectLst/>
              </a:rPr>
              <a:t>62.5MHz</a:t>
            </a:r>
            <a:r>
              <a:rPr lang="ja-JP" altLang="ja-JP" sz="1400" b="0" i="0" baseline="0">
                <a:effectLst/>
              </a:rPr>
              <a:t>）手法</a:t>
            </a:r>
            <a:r>
              <a:rPr lang="en-US" altLang="ja-JP" sz="1400" b="0" i="0" baseline="0">
                <a:effectLst/>
              </a:rPr>
              <a:t>1,2,</a:t>
            </a:r>
            <a:r>
              <a:rPr lang="ja-JP" altLang="ja-JP" sz="1400" b="0" i="0" baseline="0">
                <a:effectLst/>
              </a:rPr>
              <a:t>推定電力の</a:t>
            </a:r>
            <a:r>
              <a:rPr lang="en-US" altLang="ja-JP" sz="1400" b="0" i="0" baseline="0">
                <a:effectLst/>
              </a:rPr>
              <a:t>3</a:t>
            </a:r>
            <a:r>
              <a:rPr lang="ja-JP" altLang="ja-JP" sz="1400" b="0" i="0" baseline="0">
                <a:effectLst/>
              </a:rPr>
              <a:t>者比較  散布図</a:t>
            </a:r>
            <a:r>
              <a:rPr lang="en-US" altLang="ja-JP" sz="1400" b="0" i="0" baseline="0">
                <a:effectLst/>
              </a:rPr>
              <a:t>(Synthesis LUT)</a:t>
            </a:r>
            <a:endParaRPr lang="ja-JP" altLang="ja-JP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電力データ0610以降_300N!$D$132:$D$133</c:f>
              <c:strCache>
                <c:ptCount val="2"/>
                <c:pt idx="0">
                  <c:v>62.5MHz</c:v>
                </c:pt>
                <c:pt idx="1">
                  <c:v>Plan.1 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電力データ0610以降_300N!$C$134:$C$139</c:f>
              <c:numCache>
                <c:formatCode>#,##0</c:formatCode>
                <c:ptCount val="6"/>
                <c:pt idx="0">
                  <c:v>9600</c:v>
                </c:pt>
                <c:pt idx="1">
                  <c:v>19200</c:v>
                </c:pt>
                <c:pt idx="2">
                  <c:v>28800</c:v>
                </c:pt>
                <c:pt idx="3">
                  <c:v>9600</c:v>
                </c:pt>
                <c:pt idx="4">
                  <c:v>19200</c:v>
                </c:pt>
                <c:pt idx="5">
                  <c:v>9600</c:v>
                </c:pt>
              </c:numCache>
            </c:numRef>
          </c:xVal>
          <c:yVal>
            <c:numRef>
              <c:f>電力データ0610以降_300N!$D$134:$D$139</c:f>
              <c:numCache>
                <c:formatCode>General</c:formatCode>
                <c:ptCount val="6"/>
                <c:pt idx="0">
                  <c:v>3.5725806451612829E-2</c:v>
                </c:pt>
                <c:pt idx="1">
                  <c:v>0.11795161290322431</c:v>
                </c:pt>
                <c:pt idx="2">
                  <c:v>0.18108064516128985</c:v>
                </c:pt>
                <c:pt idx="3">
                  <c:v>8.2225806451611483E-2</c:v>
                </c:pt>
                <c:pt idx="4">
                  <c:v>0.14535483870967703</c:v>
                </c:pt>
                <c:pt idx="5">
                  <c:v>6.3129032258065543E-2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0C-4948-98CC-13B2C02C1FA2}"/>
            </c:ext>
          </c:extLst>
        </c:ser>
        <c:ser>
          <c:idx val="1"/>
          <c:order val="1"/>
          <c:tx>
            <c:strRef>
              <c:f>電力データ0610以降_300N!$E$132:$E$133</c:f>
              <c:strCache>
                <c:ptCount val="2"/>
                <c:pt idx="0">
                  <c:v>62.5MHz</c:v>
                </c:pt>
                <c:pt idx="1">
                  <c:v>Plan.2 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電力データ0610以降_300N!$C$134:$C$139</c:f>
              <c:numCache>
                <c:formatCode>#,##0</c:formatCode>
                <c:ptCount val="6"/>
                <c:pt idx="0">
                  <c:v>9600</c:v>
                </c:pt>
                <c:pt idx="1">
                  <c:v>19200</c:v>
                </c:pt>
                <c:pt idx="2">
                  <c:v>28800</c:v>
                </c:pt>
                <c:pt idx="3">
                  <c:v>9600</c:v>
                </c:pt>
                <c:pt idx="4">
                  <c:v>19200</c:v>
                </c:pt>
                <c:pt idx="5">
                  <c:v>9600</c:v>
                </c:pt>
              </c:numCache>
            </c:numRef>
          </c:xVal>
          <c:yVal>
            <c:numRef>
              <c:f>電力データ0610以降_300N!$E$134:$E$139</c:f>
              <c:numCache>
                <c:formatCode>General</c:formatCode>
                <c:ptCount val="6"/>
                <c:pt idx="0">
                  <c:v>3.9659677419354722E-2</c:v>
                </c:pt>
                <c:pt idx="1">
                  <c:v>0.11812903225806104</c:v>
                </c:pt>
                <c:pt idx="2">
                  <c:v>0.18467741935483772</c:v>
                </c:pt>
                <c:pt idx="3">
                  <c:v>7.8469354838706318E-2</c:v>
                </c:pt>
                <c:pt idx="4">
                  <c:v>0.145017741935483</c:v>
                </c:pt>
                <c:pt idx="5">
                  <c:v>6.6548387096776684E-2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0C-4948-98CC-13B2C02C1FA2}"/>
            </c:ext>
          </c:extLst>
        </c:ser>
        <c:ser>
          <c:idx val="2"/>
          <c:order val="2"/>
          <c:tx>
            <c:strRef>
              <c:f>電力データ0610以降_300N!$F$132:$F$133</c:f>
              <c:strCache>
                <c:ptCount val="2"/>
                <c:pt idx="0">
                  <c:v>62.5MHz</c:v>
                </c:pt>
                <c:pt idx="1">
                  <c:v>Estimation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電力データ0610以降_300N!$C$134:$C$139</c:f>
              <c:numCache>
                <c:formatCode>#,##0</c:formatCode>
                <c:ptCount val="6"/>
                <c:pt idx="0">
                  <c:v>9600</c:v>
                </c:pt>
                <c:pt idx="1">
                  <c:v>19200</c:v>
                </c:pt>
                <c:pt idx="2">
                  <c:v>28800</c:v>
                </c:pt>
                <c:pt idx="3">
                  <c:v>9600</c:v>
                </c:pt>
                <c:pt idx="4">
                  <c:v>19200</c:v>
                </c:pt>
                <c:pt idx="5">
                  <c:v>9600</c:v>
                </c:pt>
              </c:numCache>
            </c:numRef>
          </c:xVal>
          <c:yVal>
            <c:numRef>
              <c:f>電力データ0610以降_300N!$F$134:$F$139</c:f>
              <c:numCache>
                <c:formatCode>General</c:formatCode>
                <c:ptCount val="6"/>
                <c:pt idx="0">
                  <c:v>4.7999999999999932E-2</c:v>
                </c:pt>
                <c:pt idx="1">
                  <c:v>0.15599999999999997</c:v>
                </c:pt>
                <c:pt idx="2">
                  <c:v>0.22299999999999998</c:v>
                </c:pt>
                <c:pt idx="3">
                  <c:v>0.10800000000000004</c:v>
                </c:pt>
                <c:pt idx="4">
                  <c:v>0.17500000000000004</c:v>
                </c:pt>
                <c:pt idx="5">
                  <c:v>6.7000000000000004E-2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0C-4948-98CC-13B2C02C1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183279"/>
        <c:axId val="699836191"/>
      </c:scatterChart>
      <c:valAx>
        <c:axId val="639183279"/>
        <c:scaling>
          <c:orientation val="minMax"/>
          <c:max val="300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9836191"/>
        <c:crosses val="autoZero"/>
        <c:crossBetween val="midCat"/>
      </c:valAx>
      <c:valAx>
        <c:axId val="69983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9183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baseline="0">
                <a:effectLst/>
              </a:rPr>
              <a:t>125MHz</a:t>
            </a:r>
            <a:r>
              <a:rPr lang="ja-JP" altLang="ja-JP" sz="1400" b="0" i="0" baseline="0">
                <a:effectLst/>
              </a:rPr>
              <a:t>）手法</a:t>
            </a:r>
            <a:r>
              <a:rPr lang="en-US" altLang="ja-JP" sz="1400" b="0" i="0" baseline="0">
                <a:effectLst/>
              </a:rPr>
              <a:t>1,2,</a:t>
            </a:r>
            <a:r>
              <a:rPr lang="ja-JP" altLang="ja-JP" sz="1400" b="0" i="0" baseline="0">
                <a:effectLst/>
              </a:rPr>
              <a:t>推定電力の</a:t>
            </a:r>
            <a:r>
              <a:rPr lang="en-US" altLang="ja-JP" sz="1400" b="0" i="0" baseline="0">
                <a:effectLst/>
              </a:rPr>
              <a:t>3</a:t>
            </a:r>
            <a:r>
              <a:rPr lang="ja-JP" altLang="ja-JP" sz="1400" b="0" i="0" baseline="0">
                <a:effectLst/>
              </a:rPr>
              <a:t>者比較  散布図</a:t>
            </a:r>
            <a:r>
              <a:rPr lang="en-US" altLang="ja-JP" sz="1400" b="0" i="0" baseline="0">
                <a:effectLst/>
              </a:rPr>
              <a:t>(Synthesis LUT)</a:t>
            </a:r>
            <a:endParaRPr lang="ja-JP" altLang="ja-JP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電力データ0610以降_300N!$H$132:$H$133</c:f>
              <c:strCache>
                <c:ptCount val="2"/>
                <c:pt idx="0">
                  <c:v>125MHz</c:v>
                </c:pt>
                <c:pt idx="1">
                  <c:v>Plan.1 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DB2165E-FB5D-4A39-B692-027A78998D61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6FF-4136-88B6-87A0B4AB34B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BDC2B1B-73D5-41B2-BB88-40CA70624A8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6FF-4136-88B6-87A0B4AB34B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1131E93-645E-47FF-B9DF-E8B3A1B6502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6FF-4136-88B6-87A0B4AB34B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F94F843-D737-435D-8B08-AB86D6CB411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6FF-4136-88B6-87A0B4AB34B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1ADB752-7FF6-4226-82E8-7BED5860F2C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6FF-4136-88B6-87A0B4AB34B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CE4D4CD-DF48-4A26-A1D7-245CB03B347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6FF-4136-88B6-87A0B4AB34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電力データ0610以降_300N!$G$134:$G$139</c:f>
              <c:numCache>
                <c:formatCode>#,##0</c:formatCode>
                <c:ptCount val="6"/>
                <c:pt idx="0">
                  <c:v>9600</c:v>
                </c:pt>
                <c:pt idx="1">
                  <c:v>19200</c:v>
                </c:pt>
                <c:pt idx="2">
                  <c:v>28800</c:v>
                </c:pt>
                <c:pt idx="3">
                  <c:v>9600</c:v>
                </c:pt>
                <c:pt idx="4">
                  <c:v>19200</c:v>
                </c:pt>
                <c:pt idx="5">
                  <c:v>9600</c:v>
                </c:pt>
              </c:numCache>
            </c:numRef>
          </c:xVal>
          <c:yVal>
            <c:numRef>
              <c:f>電力データ0610以降_300N!$H$134:$H$139</c:f>
              <c:numCache>
                <c:formatCode>General</c:formatCode>
                <c:ptCount val="6"/>
                <c:pt idx="0">
                  <c:v>0.10199999999999898</c:v>
                </c:pt>
                <c:pt idx="1">
                  <c:v>0.24249999999999972</c:v>
                </c:pt>
                <c:pt idx="2">
                  <c:v>0.26651612903225841</c:v>
                </c:pt>
                <c:pt idx="3">
                  <c:v>0.14050000000000074</c:v>
                </c:pt>
                <c:pt idx="4">
                  <c:v>0.16451612903225943</c:v>
                </c:pt>
                <c:pt idx="5">
                  <c:v>2.4016129032258693E-2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電力データ0610以降_300N!$B$134:$B$139</c15:f>
                <c15:dlblRangeCache>
                  <c:ptCount val="6"/>
                  <c:pt idx="0">
                    <c:v>4M-3M</c:v>
                  </c:pt>
                  <c:pt idx="1">
                    <c:v>4M-2M</c:v>
                  </c:pt>
                  <c:pt idx="2">
                    <c:v>4M-1M</c:v>
                  </c:pt>
                  <c:pt idx="3">
                    <c:v>3M-2M</c:v>
                  </c:pt>
                  <c:pt idx="4">
                    <c:v>3M-1M</c:v>
                  </c:pt>
                  <c:pt idx="5">
                    <c:v>2M-1M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6FF-4136-88B6-87A0B4AB34B0}"/>
            </c:ext>
          </c:extLst>
        </c:ser>
        <c:ser>
          <c:idx val="1"/>
          <c:order val="1"/>
          <c:tx>
            <c:strRef>
              <c:f>電力データ0610以降_300N!$I$132:$I$133</c:f>
              <c:strCache>
                <c:ptCount val="2"/>
                <c:pt idx="0">
                  <c:v>125MHz</c:v>
                </c:pt>
                <c:pt idx="1">
                  <c:v>Plan.2 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電力データ0610以降_300N!$G$134:$G$139</c:f>
              <c:numCache>
                <c:formatCode>#,##0</c:formatCode>
                <c:ptCount val="6"/>
                <c:pt idx="0">
                  <c:v>9600</c:v>
                </c:pt>
                <c:pt idx="1">
                  <c:v>19200</c:v>
                </c:pt>
                <c:pt idx="2">
                  <c:v>28800</c:v>
                </c:pt>
                <c:pt idx="3">
                  <c:v>9600</c:v>
                </c:pt>
                <c:pt idx="4">
                  <c:v>19200</c:v>
                </c:pt>
                <c:pt idx="5">
                  <c:v>9600</c:v>
                </c:pt>
              </c:numCache>
            </c:numRef>
          </c:xVal>
          <c:yVal>
            <c:numRef>
              <c:f>電力データ0610以降_300N!$I$134:$I$139</c:f>
              <c:numCache>
                <c:formatCode>General</c:formatCode>
                <c:ptCount val="6"/>
                <c:pt idx="0">
                  <c:v>0.10451612903225582</c:v>
                </c:pt>
                <c:pt idx="1">
                  <c:v>0.24311290322580614</c:v>
                </c:pt>
                <c:pt idx="2">
                  <c:v>0.30714516129032177</c:v>
                </c:pt>
                <c:pt idx="3">
                  <c:v>0.13859677419355032</c:v>
                </c:pt>
                <c:pt idx="4">
                  <c:v>0.20262903225806594</c:v>
                </c:pt>
                <c:pt idx="5">
                  <c:v>6.4032258064515624E-2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FF-4136-88B6-87A0B4AB34B0}"/>
            </c:ext>
          </c:extLst>
        </c:ser>
        <c:ser>
          <c:idx val="2"/>
          <c:order val="2"/>
          <c:tx>
            <c:strRef>
              <c:f>電力データ0610以降_300N!$J$132:$J$133</c:f>
              <c:strCache>
                <c:ptCount val="2"/>
                <c:pt idx="0">
                  <c:v>125MHz</c:v>
                </c:pt>
                <c:pt idx="1">
                  <c:v>Estimation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電力データ0610以降_300N!$G$134:$G$139</c:f>
              <c:numCache>
                <c:formatCode>#,##0</c:formatCode>
                <c:ptCount val="6"/>
                <c:pt idx="0">
                  <c:v>9600</c:v>
                </c:pt>
                <c:pt idx="1">
                  <c:v>19200</c:v>
                </c:pt>
                <c:pt idx="2">
                  <c:v>28800</c:v>
                </c:pt>
                <c:pt idx="3">
                  <c:v>9600</c:v>
                </c:pt>
                <c:pt idx="4">
                  <c:v>19200</c:v>
                </c:pt>
                <c:pt idx="5">
                  <c:v>9600</c:v>
                </c:pt>
              </c:numCache>
            </c:numRef>
          </c:xVal>
          <c:yVal>
            <c:numRef>
              <c:f>電力データ0610以降_300N!$J$134:$J$139</c:f>
              <c:numCache>
                <c:formatCode>General</c:formatCode>
                <c:ptCount val="6"/>
                <c:pt idx="0">
                  <c:v>0.127</c:v>
                </c:pt>
                <c:pt idx="1">
                  <c:v>0.32199999999999995</c:v>
                </c:pt>
                <c:pt idx="2">
                  <c:v>0.47799999999999998</c:v>
                </c:pt>
                <c:pt idx="3">
                  <c:v>0.19499999999999995</c:v>
                </c:pt>
                <c:pt idx="4">
                  <c:v>0.35099999999999998</c:v>
                </c:pt>
                <c:pt idx="5">
                  <c:v>0.15600000000000003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FF-4136-88B6-87A0B4AB3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495087"/>
        <c:axId val="699837439"/>
      </c:scatterChart>
      <c:valAx>
        <c:axId val="270495087"/>
        <c:scaling>
          <c:orientation val="minMax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9837439"/>
        <c:crosses val="autoZero"/>
        <c:crossBetween val="midCat"/>
      </c:valAx>
      <c:valAx>
        <c:axId val="69983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0495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2434468418720385E-2"/>
          <c:y val="3.7606837606837605E-2"/>
          <c:w val="0.89379321091357089"/>
          <c:h val="0.75231280705296455"/>
        </c:manualLayout>
      </c:layout>
      <c:scatterChart>
        <c:scatterStyle val="lineMarker"/>
        <c:varyColors val="0"/>
        <c:ser>
          <c:idx val="2"/>
          <c:order val="0"/>
          <c:tx>
            <c:strRef>
              <c:f>電力データ0610以降_300N!$F$175:$F$176</c:f>
              <c:strCache>
                <c:ptCount val="2"/>
                <c:pt idx="1">
                  <c:v>62.5MHz電力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電力データ0610以降_300N!$C$177:$C$180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xVal>
          <c:yVal>
            <c:numRef>
              <c:f>電力データ0610以降_300N!$F$177:$F$180</c:f>
              <c:numCache>
                <c:formatCode>General</c:formatCode>
                <c:ptCount val="4"/>
                <c:pt idx="0">
                  <c:v>1.885</c:v>
                </c:pt>
                <c:pt idx="1">
                  <c:v>1.8492741935483872</c:v>
                </c:pt>
                <c:pt idx="2">
                  <c:v>1.7670483870967757</c:v>
                </c:pt>
                <c:pt idx="3">
                  <c:v>1.7039193548387102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08-48D4-9169-3E1DC29E0055}"/>
            </c:ext>
          </c:extLst>
        </c:ser>
        <c:ser>
          <c:idx val="3"/>
          <c:order val="1"/>
          <c:tx>
            <c:strRef>
              <c:f>電力データ0610以降_300N!$G$175:$G$176</c:f>
              <c:strCache>
                <c:ptCount val="2"/>
                <c:pt idx="1">
                  <c:v>125MHz電力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電力データ0610以降_300N!$C$177:$C$180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xVal>
          <c:yVal>
            <c:numRef>
              <c:f>電力データ0610以降_300N!$G$177:$G$180</c:f>
              <c:numCache>
                <c:formatCode>General</c:formatCode>
                <c:ptCount val="4"/>
                <c:pt idx="0">
                  <c:v>2.3286935483870961</c:v>
                </c:pt>
                <c:pt idx="1">
                  <c:v>2.2266935483870971</c:v>
                </c:pt>
                <c:pt idx="2">
                  <c:v>2.0861935483870964</c:v>
                </c:pt>
                <c:pt idx="3">
                  <c:v>2.0621774193548377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08-48D4-9169-3E1DC29E0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421536"/>
        <c:axId val="645440144"/>
      </c:scatterChart>
      <c:valAx>
        <c:axId val="62842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5440144"/>
        <c:crosses val="autoZero"/>
        <c:crossBetween val="midCat"/>
        <c:majorUnit val="1"/>
      </c:valAx>
      <c:valAx>
        <c:axId val="645440144"/>
        <c:scaling>
          <c:orientation val="minMax"/>
          <c:min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8421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baseline="0"/>
              <a:t>テストパターンの違いによる傾向の差</a:t>
            </a:r>
            <a:r>
              <a:rPr lang="en-US" altLang="ja-JP" baseline="0"/>
              <a:t> 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Sync回路回帰分析!$D$3</c:f>
              <c:strCache>
                <c:ptCount val="1"/>
                <c:pt idx="0">
                  <c:v>100N16M~1M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E63C5F9-7E2D-43D3-B744-F01598C0BD4C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9800-43E4-AE70-C0058F25341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37E6C17-A9A3-4AA1-A898-0096CFBE7F6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9800-43E4-AE70-C0058F25341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761F77B-9B63-4378-899D-20E51D16610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9800-43E4-AE70-C0058F25341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711BF86-6742-491B-9C75-2044BEF6BAD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9800-43E4-AE70-C0058F25341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F9A8F07-FFC8-4065-876A-3941637E643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9800-43E4-AE70-C0058F25341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5A1CD2A-5D46-44F2-93B7-7751709767F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9800-43E4-AE70-C0058F25341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34B856C-E128-4272-948D-787D625D9FC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9800-43E4-AE70-C0058F25341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DF1AD44-5BCD-4006-A73A-4DA213A98CA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9800-43E4-AE70-C0058F25341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CFC6775-3973-4B34-8433-492CB17F447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9800-43E4-AE70-C0058F25341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7EED2A9-6381-489B-AC83-53149F729CF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9800-43E4-AE70-C0058F25341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F5576C8-960E-492A-86DE-F5445FC4DD3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9800-43E4-AE70-C0058F25341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D797FB9-4221-4F16-804C-1A8FFE72D03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9800-43E4-AE70-C0058F25341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4FA5DD8-CC99-4747-95F4-10063F1870C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9800-43E4-AE70-C0058F25341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C93CE35-7491-4396-BD91-51E206B4761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9800-43E4-AE70-C0058F25341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F02CAE7-B11C-4F83-A140-E7D313EE7EA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9800-43E4-AE70-C0058F2534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Sync回路回帰分析!$D$5:$D$19</c:f>
              <c:numCache>
                <c:formatCode>General</c:formatCode>
                <c:ptCount val="15"/>
                <c:pt idx="0">
                  <c:v>3775</c:v>
                </c:pt>
                <c:pt idx="1">
                  <c:v>8042</c:v>
                </c:pt>
                <c:pt idx="2">
                  <c:v>17660</c:v>
                </c:pt>
                <c:pt idx="3">
                  <c:v>23794</c:v>
                </c:pt>
                <c:pt idx="4">
                  <c:v>26971</c:v>
                </c:pt>
                <c:pt idx="5">
                  <c:v>4267</c:v>
                </c:pt>
                <c:pt idx="6">
                  <c:v>13885</c:v>
                </c:pt>
                <c:pt idx="7">
                  <c:v>20019</c:v>
                </c:pt>
                <c:pt idx="8">
                  <c:v>23196</c:v>
                </c:pt>
                <c:pt idx="9">
                  <c:v>9618</c:v>
                </c:pt>
                <c:pt idx="10">
                  <c:v>15752</c:v>
                </c:pt>
                <c:pt idx="11">
                  <c:v>18929</c:v>
                </c:pt>
                <c:pt idx="12">
                  <c:v>6134</c:v>
                </c:pt>
                <c:pt idx="13">
                  <c:v>9311</c:v>
                </c:pt>
                <c:pt idx="14">
                  <c:v>3177</c:v>
                </c:pt>
              </c:numCache>
            </c:numRef>
          </c:xVal>
          <c:yVal>
            <c:numRef>
              <c:f>Sync回路回帰分析!$E$5:$E$19</c:f>
              <c:numCache>
                <c:formatCode>General</c:formatCode>
                <c:ptCount val="15"/>
                <c:pt idx="0">
                  <c:v>7.6000000000000012E-2</c:v>
                </c:pt>
                <c:pt idx="1">
                  <c:v>0.17400000000000004</c:v>
                </c:pt>
                <c:pt idx="2">
                  <c:v>0.27200000000000002</c:v>
                </c:pt>
                <c:pt idx="3">
                  <c:v>0.32200000000000006</c:v>
                </c:pt>
                <c:pt idx="4">
                  <c:v>0.34500000000000003</c:v>
                </c:pt>
                <c:pt idx="5">
                  <c:v>9.8000000000000032E-2</c:v>
                </c:pt>
                <c:pt idx="6">
                  <c:v>0.19600000000000001</c:v>
                </c:pt>
                <c:pt idx="7">
                  <c:v>0.24600000000000002</c:v>
                </c:pt>
                <c:pt idx="8">
                  <c:v>0.26900000000000002</c:v>
                </c:pt>
                <c:pt idx="9">
                  <c:v>9.7999999999999976E-2</c:v>
                </c:pt>
                <c:pt idx="10">
                  <c:v>0.14799999999999999</c:v>
                </c:pt>
                <c:pt idx="11">
                  <c:v>0.17099999999999999</c:v>
                </c:pt>
                <c:pt idx="12">
                  <c:v>5.0000000000000017E-2</c:v>
                </c:pt>
                <c:pt idx="13">
                  <c:v>7.3000000000000009E-2</c:v>
                </c:pt>
                <c:pt idx="14">
                  <c:v>2.2999999999999993E-2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Sync回路回帰分析!$C$5:$C$19</c15:f>
                <c15:dlblRangeCache>
                  <c:ptCount val="15"/>
                  <c:pt idx="0">
                    <c:v>16M-12M</c:v>
                  </c:pt>
                  <c:pt idx="1">
                    <c:v>16M-8M</c:v>
                  </c:pt>
                  <c:pt idx="2">
                    <c:v>16M-4M</c:v>
                  </c:pt>
                  <c:pt idx="3">
                    <c:v>16M-2M</c:v>
                  </c:pt>
                  <c:pt idx="4">
                    <c:v>16M-1M</c:v>
                  </c:pt>
                  <c:pt idx="5">
                    <c:v>12M -8M</c:v>
                  </c:pt>
                  <c:pt idx="6">
                    <c:v>12M-4M</c:v>
                  </c:pt>
                  <c:pt idx="7">
                    <c:v>12M-2M</c:v>
                  </c:pt>
                  <c:pt idx="8">
                    <c:v>12M-1M</c:v>
                  </c:pt>
                  <c:pt idx="9">
                    <c:v>8M-4M</c:v>
                  </c:pt>
                  <c:pt idx="10">
                    <c:v>8M-2M</c:v>
                  </c:pt>
                  <c:pt idx="11">
                    <c:v>8M-1M</c:v>
                  </c:pt>
                  <c:pt idx="12">
                    <c:v>4M-2M</c:v>
                  </c:pt>
                  <c:pt idx="13">
                    <c:v>4M-1M</c:v>
                  </c:pt>
                  <c:pt idx="14">
                    <c:v>2M-1M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9800-43E4-AE70-C0058F253417}"/>
            </c:ext>
          </c:extLst>
        </c:ser>
        <c:ser>
          <c:idx val="1"/>
          <c:order val="1"/>
          <c:tx>
            <c:strRef>
              <c:f>Sync回路回帰分析!$H$3</c:f>
              <c:strCache>
                <c:ptCount val="1"/>
                <c:pt idx="0">
                  <c:v>300N4M~1M62.5MHz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Sync回路回帰分析!$H$5:$H$10</c:f>
              <c:numCache>
                <c:formatCode>#,##0</c:formatCode>
                <c:ptCount val="6"/>
                <c:pt idx="0">
                  <c:v>7988</c:v>
                </c:pt>
                <c:pt idx="1">
                  <c:v>15556</c:v>
                </c:pt>
                <c:pt idx="2">
                  <c:v>23054</c:v>
                </c:pt>
                <c:pt idx="3">
                  <c:v>15066</c:v>
                </c:pt>
                <c:pt idx="4">
                  <c:v>7830</c:v>
                </c:pt>
                <c:pt idx="5">
                  <c:v>7498</c:v>
                </c:pt>
              </c:numCache>
            </c:numRef>
          </c:xVal>
          <c:yVal>
            <c:numRef>
              <c:f>Sync回路回帰分析!$I$5:$I$10</c:f>
              <c:numCache>
                <c:formatCode>General</c:formatCode>
                <c:ptCount val="6"/>
                <c:pt idx="0">
                  <c:v>3.9659677419354722E-2</c:v>
                </c:pt>
                <c:pt idx="1">
                  <c:v>0.11812903225806104</c:v>
                </c:pt>
                <c:pt idx="2">
                  <c:v>0.18467741935483772</c:v>
                </c:pt>
                <c:pt idx="3">
                  <c:v>7.8469354838706318E-2</c:v>
                </c:pt>
                <c:pt idx="4">
                  <c:v>0.145017741935483</c:v>
                </c:pt>
                <c:pt idx="5">
                  <c:v>6.6548387096776684E-2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800-43E4-AE70-C0058F253417}"/>
            </c:ext>
          </c:extLst>
        </c:ser>
        <c:ser>
          <c:idx val="2"/>
          <c:order val="2"/>
          <c:tx>
            <c:strRef>
              <c:f>Sync回路回帰分析!$J$3</c:f>
              <c:strCache>
                <c:ptCount val="1"/>
                <c:pt idx="0">
                  <c:v>300N4M~1M125MHz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Sync回路回帰分析!$J$5:$J$10</c:f>
              <c:numCache>
                <c:formatCode>#,##0</c:formatCode>
                <c:ptCount val="6"/>
                <c:pt idx="0">
                  <c:v>7988</c:v>
                </c:pt>
                <c:pt idx="1">
                  <c:v>15556</c:v>
                </c:pt>
                <c:pt idx="2">
                  <c:v>23054</c:v>
                </c:pt>
                <c:pt idx="3">
                  <c:v>7568</c:v>
                </c:pt>
                <c:pt idx="4">
                  <c:v>15066</c:v>
                </c:pt>
                <c:pt idx="5">
                  <c:v>7498</c:v>
                </c:pt>
              </c:numCache>
            </c:numRef>
          </c:xVal>
          <c:yVal>
            <c:numRef>
              <c:f>Sync回路回帰分析!$K$5:$K$10</c:f>
              <c:numCache>
                <c:formatCode>General</c:formatCode>
                <c:ptCount val="6"/>
                <c:pt idx="0">
                  <c:v>0.10451612903225582</c:v>
                </c:pt>
                <c:pt idx="1">
                  <c:v>0.24311290322580614</c:v>
                </c:pt>
                <c:pt idx="2">
                  <c:v>0.30714516129032177</c:v>
                </c:pt>
                <c:pt idx="3">
                  <c:v>0.13859677419355032</c:v>
                </c:pt>
                <c:pt idx="4">
                  <c:v>0.20262903225806594</c:v>
                </c:pt>
                <c:pt idx="5">
                  <c:v>6.4032258064515624E-2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800-43E4-AE70-C0058F253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927184"/>
        <c:axId val="541270032"/>
      </c:scatterChart>
      <c:valAx>
        <c:axId val="42592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LUT数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1270032"/>
        <c:crosses val="autoZero"/>
        <c:crossBetween val="midCat"/>
      </c:valAx>
      <c:valAx>
        <c:axId val="54127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</a:t>
                </a:r>
                <a:r>
                  <a:rPr lang="en-US" altLang="ja-JP"/>
                  <a:t>[W]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5927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各実測値の比較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Sync回路回帰分析!$H$25</c:f>
              <c:strCache>
                <c:ptCount val="1"/>
                <c:pt idx="0">
                  <c:v>100N62.5MHz電力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0E60981-E2FB-486A-850A-821100F788F7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9C2F-4A44-9648-22581CB01EA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2728A3A-859E-4F8A-8FF3-D2AFDA86812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9C2F-4A44-9648-22581CB01EA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03376CD-6216-4BFB-AFBB-E2715371459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9C2F-4A44-9648-22581CB01EA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1FFF430-8AE7-41DA-8015-D83596BEBB9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9C2F-4A44-9648-22581CB01EA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2860F43-381A-4CCF-8F1A-D79704E2917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9C2F-4A44-9648-22581CB01EA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61AF375-B8A8-4C4B-ACD9-F9DC40A74C5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9C2F-4A44-9648-22581CB01EA6}"/>
                </c:ext>
              </c:extLst>
            </c:dLbl>
            <c:dLbl>
              <c:idx val="6"/>
              <c:layout>
                <c:manualLayout>
                  <c:x val="-5.0218899405251108E-2"/>
                  <c:y val="3.8551022830688876E-2"/>
                </c:manualLayout>
              </c:layout>
              <c:tx>
                <c:rich>
                  <a:bodyPr/>
                  <a:lstStyle/>
                  <a:p>
                    <a:fld id="{B8589F36-1E08-41BB-B043-951DDF889677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9C2F-4A44-9648-22581CB01E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Sync回路回帰分析!$D$26:$D$32</c:f>
              <c:numCache>
                <c:formatCode>General</c:formatCode>
                <c:ptCount val="7"/>
                <c:pt idx="0">
                  <c:v>16</c:v>
                </c:pt>
                <c:pt idx="1">
                  <c:v>12</c:v>
                </c:pt>
                <c:pt idx="2">
                  <c:v>8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</c:numCache>
            </c:numRef>
          </c:xVal>
          <c:yVal>
            <c:numRef>
              <c:f>Sync回路回帰分析!$H$26:$H$32</c:f>
              <c:numCache>
                <c:formatCode>General</c:formatCode>
                <c:ptCount val="7"/>
                <c:pt idx="0">
                  <c:v>1.8938225806451614</c:v>
                </c:pt>
                <c:pt idx="1">
                  <c:v>1.8137096774193544</c:v>
                </c:pt>
                <c:pt idx="2">
                  <c:v>1.7232741935483864</c:v>
                </c:pt>
                <c:pt idx="3">
                  <c:v>1.6362419354838709</c:v>
                </c:pt>
                <c:pt idx="4">
                  <c:v>1.5922096774193537</c:v>
                </c:pt>
                <c:pt idx="5">
                  <c:v>1.5545</c:v>
                </c:pt>
                <c:pt idx="6">
                  <c:v>1.5473064516129043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Sync回路回帰分析!$C$26:$C$32</c15:f>
                <c15:dlblRangeCache>
                  <c:ptCount val="7"/>
                  <c:pt idx="0">
                    <c:v>62.5MHz100N16M</c:v>
                  </c:pt>
                  <c:pt idx="1">
                    <c:v>62.5MHz100N12M</c:v>
                  </c:pt>
                  <c:pt idx="2">
                    <c:v>62.5MHz100N8M</c:v>
                  </c:pt>
                  <c:pt idx="3">
                    <c:v>62.5MHz100N4M</c:v>
                  </c:pt>
                  <c:pt idx="4">
                    <c:v>62.5MHz100N2M</c:v>
                  </c:pt>
                  <c:pt idx="5">
                    <c:v>62.5MHz100N1M</c:v>
                  </c:pt>
                  <c:pt idx="6">
                    <c:v>62.5MHz100N0M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9C2F-4A44-9648-22581CB01EA6}"/>
            </c:ext>
          </c:extLst>
        </c:ser>
        <c:ser>
          <c:idx val="1"/>
          <c:order val="1"/>
          <c:tx>
            <c:strRef>
              <c:f>Sync回路回帰分析!$H$33</c:f>
              <c:strCache>
                <c:ptCount val="1"/>
                <c:pt idx="0">
                  <c:v>300N62.5MHz電力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6C489D3-BA0A-4D54-8AC9-9763A73DA378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9C2F-4A44-9648-22581CB01EA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FC8F39E-03E3-44F8-98A4-F05C9BDF6CD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9C2F-4A44-9648-22581CB01EA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6BD1554-9EE5-4F1D-99C4-B9E729C43A1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9C2F-4A44-9648-22581CB01EA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D40FB29-34B6-4CB3-83E0-8584C4A64D4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9C2F-4A44-9648-22581CB01EA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9C2F-4A44-9648-22581CB01E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Sync回路回帰分析!$D$34:$D$38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</c:numCache>
            </c:numRef>
          </c:xVal>
          <c:yVal>
            <c:numRef>
              <c:f>Sync回路回帰分析!$H$34:$H$38</c:f>
              <c:numCache>
                <c:formatCode>General</c:formatCode>
                <c:ptCount val="5"/>
                <c:pt idx="0">
                  <c:v>1.885</c:v>
                </c:pt>
                <c:pt idx="1">
                  <c:v>1.8492741935483872</c:v>
                </c:pt>
                <c:pt idx="2">
                  <c:v>1.7670483870967757</c:v>
                </c:pt>
                <c:pt idx="3">
                  <c:v>1.7039193548387102</c:v>
                </c:pt>
                <c:pt idx="4">
                  <c:v>1.6343709677419351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Sync回路回帰分析!$C$34:$C$37</c15:f>
                <c15:dlblRangeCache>
                  <c:ptCount val="4"/>
                  <c:pt idx="0">
                    <c:v>62.5MHz300N4M</c:v>
                  </c:pt>
                  <c:pt idx="1">
                    <c:v>62.5MHz300N3M</c:v>
                  </c:pt>
                  <c:pt idx="2">
                    <c:v>62.5MHz300N2M </c:v>
                  </c:pt>
                  <c:pt idx="3">
                    <c:v>62.5MHz300N1M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9C2F-4A44-9648-22581CB01EA6}"/>
            </c:ext>
          </c:extLst>
        </c:ser>
        <c:ser>
          <c:idx val="2"/>
          <c:order val="2"/>
          <c:tx>
            <c:strRef>
              <c:f>Sync回路回帰分析!$H$39</c:f>
              <c:strCache>
                <c:ptCount val="1"/>
                <c:pt idx="0">
                  <c:v>300N125MHz電力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18462843659694"/>
                  <c:y val="-3.1800735963280972E-2"/>
                </c:manualLayout>
              </c:layout>
              <c:tx>
                <c:rich>
                  <a:bodyPr/>
                  <a:lstStyle/>
                  <a:p>
                    <a:fld id="{F756CF10-7F93-483E-946F-878AE37CA179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9C2F-4A44-9648-22581CB01EA6}"/>
                </c:ext>
              </c:extLst>
            </c:dLbl>
            <c:dLbl>
              <c:idx val="1"/>
              <c:layout>
                <c:manualLayout>
                  <c:x val="-8.6133601986620359E-2"/>
                  <c:y val="-4.5201070971656182E-2"/>
                </c:manualLayout>
              </c:layout>
              <c:tx>
                <c:rich>
                  <a:bodyPr/>
                  <a:lstStyle/>
                  <a:p>
                    <a:fld id="{EB9BDFB3-C598-49DF-B0D9-6F7AE0CDC60F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9C2F-4A44-9648-22581CB01EA6}"/>
                </c:ext>
              </c:extLst>
            </c:dLbl>
            <c:dLbl>
              <c:idx val="2"/>
              <c:layout>
                <c:manualLayout>
                  <c:x val="5.8978233781383392E-3"/>
                  <c:y val="-2.5100568459093399E-2"/>
                </c:manualLayout>
              </c:layout>
              <c:tx>
                <c:rich>
                  <a:bodyPr/>
                  <a:lstStyle/>
                  <a:p>
                    <a:fld id="{A2005665-05F4-47F9-BFF5-A796C84CF448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9C2F-4A44-9648-22581CB01EA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D3BF673-FB87-4954-9C62-E2FF9AA4F24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9C2F-4A44-9648-22581CB01EA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9C2F-4A44-9648-22581CB01E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Sync回路回帰分析!$D$34:$D$38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</c:numCache>
            </c:numRef>
          </c:xVal>
          <c:yVal>
            <c:numRef>
              <c:f>Sync回路回帰分析!$H$40:$H$44</c:f>
              <c:numCache>
                <c:formatCode>General</c:formatCode>
                <c:ptCount val="5"/>
                <c:pt idx="0">
                  <c:v>2.3286935483870961</c:v>
                </c:pt>
                <c:pt idx="1">
                  <c:v>2.2266935483870971</c:v>
                </c:pt>
                <c:pt idx="2">
                  <c:v>2.0861935483870964</c:v>
                </c:pt>
                <c:pt idx="3">
                  <c:v>2.0621774193548377</c:v>
                </c:pt>
                <c:pt idx="4">
                  <c:v>1.8033225806451634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Sync回路回帰分析!$C$34:$C$37</c15:f>
                <c15:dlblRangeCache>
                  <c:ptCount val="4"/>
                  <c:pt idx="0">
                    <c:v>62.5MHz300N4M</c:v>
                  </c:pt>
                  <c:pt idx="1">
                    <c:v>62.5MHz300N3M</c:v>
                  </c:pt>
                  <c:pt idx="2">
                    <c:v>62.5MHz300N2M </c:v>
                  </c:pt>
                  <c:pt idx="3">
                    <c:v>62.5MHz300N1M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9C2F-4A44-9648-22581CB01EA6}"/>
            </c:ext>
          </c:extLst>
        </c:ser>
        <c:ser>
          <c:idx val="3"/>
          <c:order val="3"/>
          <c:tx>
            <c:strRef>
              <c:f>Sync回路回帰分析!$J$44</c:f>
              <c:strCache>
                <c:ptCount val="1"/>
                <c:pt idx="0">
                  <c:v>得た係数をもとに推定した電力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Sync回路回帰分析!$N$47:$N$63</c:f>
              <c:numCache>
                <c:formatCode>General</c:formatCode>
                <c:ptCount val="17"/>
                <c:pt idx="0">
                  <c:v>16</c:v>
                </c:pt>
                <c:pt idx="1">
                  <c:v>12</c:v>
                </c:pt>
                <c:pt idx="2">
                  <c:v>8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</c:numCache>
              <c:extLst xmlns:c15="http://schemas.microsoft.com/office/drawing/2012/chart"/>
            </c:numRef>
          </c:xVal>
          <c:yVal>
            <c:numRef>
              <c:f>Sync回路回帰分析!$K$47:$K$63</c:f>
              <c:numCache>
                <c:formatCode>General</c:formatCode>
                <c:ptCount val="17"/>
                <c:pt idx="0">
                  <c:v>1.956442228217196</c:v>
                </c:pt>
                <c:pt idx="1">
                  <c:v>1.8443244843684226</c:v>
                </c:pt>
                <c:pt idx="2">
                  <c:v>1.7322067405196493</c:v>
                </c:pt>
                <c:pt idx="3">
                  <c:v>1.6200889966708756</c:v>
                </c:pt>
                <c:pt idx="4">
                  <c:v>1.5640301247464889</c:v>
                </c:pt>
                <c:pt idx="5">
                  <c:v>1.5360006887842956</c:v>
                </c:pt>
                <c:pt idx="6">
                  <c:v>1.5079712528221023</c:v>
                </c:pt>
                <c:pt idx="7">
                  <c:v>1.8239814525695484</c:v>
                </c:pt>
                <c:pt idx="8">
                  <c:v>1.7959520166073548</c:v>
                </c:pt>
                <c:pt idx="9">
                  <c:v>1.7679225806451617</c:v>
                </c:pt>
                <c:pt idx="10">
                  <c:v>1.7398931446829682</c:v>
                </c:pt>
                <c:pt idx="11">
                  <c:v>1.7118637087207749</c:v>
                </c:pt>
                <c:pt idx="12">
                  <c:v>2.1574750009566448</c:v>
                </c:pt>
                <c:pt idx="13">
                  <c:v>2.1294455649944517</c:v>
                </c:pt>
                <c:pt idx="14">
                  <c:v>2.1014161290322582</c:v>
                </c:pt>
                <c:pt idx="15">
                  <c:v>2.0733866930700646</c:v>
                </c:pt>
                <c:pt idx="16">
                  <c:v>2.0453572571078711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8-9C2F-4A44-9648-22581CB01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385456"/>
        <c:axId val="412589088"/>
        <c:extLst/>
      </c:scatterChart>
      <c:valAx>
        <c:axId val="42738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NOT</a:t>
                </a:r>
                <a:r>
                  <a:rPr lang="ja-JP" altLang="en-US"/>
                  <a:t>ロジック段数（インバーター段数）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2589088"/>
        <c:crosses val="autoZero"/>
        <c:crossBetween val="midCat"/>
      </c:valAx>
      <c:valAx>
        <c:axId val="412589088"/>
        <c:scaling>
          <c:orientation val="minMax"/>
          <c:min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</a:t>
                </a:r>
                <a:r>
                  <a:rPr lang="en-US" altLang="ja-JP"/>
                  <a:t>[W]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385456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Sync回路回帰分析!$K$45</c:f>
              <c:strCache>
                <c:ptCount val="1"/>
                <c:pt idx="0">
                  <c:v>Y（電力[W]）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Sync回路回帰分析!$N$47:$N$63</c:f>
              <c:numCache>
                <c:formatCode>General</c:formatCode>
                <c:ptCount val="17"/>
                <c:pt idx="0">
                  <c:v>16</c:v>
                </c:pt>
                <c:pt idx="1">
                  <c:v>12</c:v>
                </c:pt>
                <c:pt idx="2">
                  <c:v>8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</c:numCache>
            </c:numRef>
          </c:xVal>
          <c:yVal>
            <c:numRef>
              <c:f>Sync回路回帰分析!$K$47:$K$63</c:f>
              <c:numCache>
                <c:formatCode>General</c:formatCode>
                <c:ptCount val="17"/>
                <c:pt idx="0">
                  <c:v>1.956442228217196</c:v>
                </c:pt>
                <c:pt idx="1">
                  <c:v>1.8443244843684226</c:v>
                </c:pt>
                <c:pt idx="2">
                  <c:v>1.7322067405196493</c:v>
                </c:pt>
                <c:pt idx="3">
                  <c:v>1.6200889966708756</c:v>
                </c:pt>
                <c:pt idx="4">
                  <c:v>1.5640301247464889</c:v>
                </c:pt>
                <c:pt idx="5">
                  <c:v>1.5360006887842956</c:v>
                </c:pt>
                <c:pt idx="6">
                  <c:v>1.5079712528221023</c:v>
                </c:pt>
                <c:pt idx="7">
                  <c:v>1.8239814525695484</c:v>
                </c:pt>
                <c:pt idx="8">
                  <c:v>1.7959520166073548</c:v>
                </c:pt>
                <c:pt idx="9">
                  <c:v>1.7679225806451617</c:v>
                </c:pt>
                <c:pt idx="10">
                  <c:v>1.7398931446829682</c:v>
                </c:pt>
                <c:pt idx="11">
                  <c:v>1.7118637087207749</c:v>
                </c:pt>
                <c:pt idx="12">
                  <c:v>2.1574750009566448</c:v>
                </c:pt>
                <c:pt idx="13">
                  <c:v>2.1294455649944517</c:v>
                </c:pt>
                <c:pt idx="14">
                  <c:v>2.1014161290322582</c:v>
                </c:pt>
                <c:pt idx="15">
                  <c:v>2.0733866930700646</c:v>
                </c:pt>
                <c:pt idx="16">
                  <c:v>2.0453572571078711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5-4B78-BE58-77592A43D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812656"/>
        <c:axId val="542392960"/>
      </c:scatterChart>
      <c:valAx>
        <c:axId val="62981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2392960"/>
        <c:crosses val="autoZero"/>
        <c:crossBetween val="midCat"/>
      </c:valAx>
      <c:valAx>
        <c:axId val="542392960"/>
        <c:scaling>
          <c:orientation val="minMax"/>
          <c:max val="2.4"/>
          <c:min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981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各実測値の電力と</a:t>
            </a:r>
            <a:r>
              <a:rPr lang="en-US" altLang="ja-JP"/>
              <a:t>LUT</a:t>
            </a:r>
            <a:r>
              <a:rPr lang="ja-JP" altLang="en-US"/>
              <a:t>数の比較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6"/>
          <c:order val="0"/>
          <c:tx>
            <c:strRef>
              <c:f>Sync回路回帰分析!$H$25</c:f>
              <c:strCache>
                <c:ptCount val="1"/>
                <c:pt idx="0">
                  <c:v>100N62.5MHz電力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0"/>
              <c:layout>
                <c:manualLayout>
                  <c:x val="-7.0395447909819081E-2"/>
                  <c:y val="-3.7024471035016659E-2"/>
                </c:manualLayout>
              </c:layout>
              <c:tx>
                <c:rich>
                  <a:bodyPr/>
                  <a:lstStyle/>
                  <a:p>
                    <a:fld id="{677D1034-F251-4FD6-B05E-787F5077DD7D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B114-41AB-BFAC-348628359332}"/>
                </c:ext>
              </c:extLst>
            </c:dLbl>
            <c:dLbl>
              <c:idx val="1"/>
              <c:layout>
                <c:manualLayout>
                  <c:x val="-1.3370874055089806E-3"/>
                  <c:y val="1.8158650750946696E-2"/>
                </c:manualLayout>
              </c:layout>
              <c:tx>
                <c:rich>
                  <a:bodyPr/>
                  <a:lstStyle/>
                  <a:p>
                    <a:fld id="{CBA49B80-F2C0-43F4-8D44-AB45E9EF6546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B114-41AB-BFAC-348628359332}"/>
                </c:ext>
              </c:extLst>
            </c:dLbl>
            <c:dLbl>
              <c:idx val="2"/>
              <c:layout>
                <c:manualLayout>
                  <c:x val="-2.0203822239684456E-3"/>
                  <c:y val="-2.3572317770775684E-4"/>
                </c:manualLayout>
              </c:layout>
              <c:tx>
                <c:rich>
                  <a:bodyPr/>
                  <a:lstStyle/>
                  <a:p>
                    <a:fld id="{37F141A3-210E-478C-8986-869982456B31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4-B114-41AB-BFAC-348628359332}"/>
                </c:ext>
              </c:extLst>
            </c:dLbl>
            <c:dLbl>
              <c:idx val="3"/>
              <c:layout>
                <c:manualLayout>
                  <c:x val="8.264905510716021E-3"/>
                  <c:y val="-2.3572317770775684E-4"/>
                </c:manualLayout>
              </c:layout>
              <c:tx>
                <c:rich>
                  <a:bodyPr/>
                  <a:lstStyle/>
                  <a:p>
                    <a:fld id="{D2FD1BDE-ED03-4D95-8B17-FC86D26897C8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5-B114-41AB-BFAC-348628359332}"/>
                </c:ext>
              </c:extLst>
            </c:dLbl>
            <c:dLbl>
              <c:idx val="4"/>
              <c:layout>
                <c:manualLayout>
                  <c:x val="6.7955786914753822E-3"/>
                  <c:y val="8.9614637866193853E-3"/>
                </c:manualLayout>
              </c:layout>
              <c:tx>
                <c:rich>
                  <a:bodyPr/>
                  <a:lstStyle/>
                  <a:p>
                    <a:fld id="{51A7B2FD-2947-4413-BD8F-DE3795A10207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6-B114-41AB-BFAC-348628359332}"/>
                </c:ext>
              </c:extLst>
            </c:dLbl>
            <c:dLbl>
              <c:idx val="5"/>
              <c:layout>
                <c:manualLayout>
                  <c:x val="-4.9590358624497215E-3"/>
                  <c:y val="8.9614637866194686E-3"/>
                </c:manualLayout>
              </c:layout>
              <c:tx>
                <c:rich>
                  <a:bodyPr/>
                  <a:lstStyle/>
                  <a:p>
                    <a:fld id="{EBE96EC5-3F09-4087-A3BE-53A6DBE45A3E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7-B114-41AB-BFAC-348628359332}"/>
                </c:ext>
              </c:extLst>
            </c:dLbl>
            <c:dLbl>
              <c:idx val="6"/>
              <c:layout>
                <c:manualLayout>
                  <c:x val="-2.4060284512578016E-2"/>
                  <c:y val="3.655302467960115E-2"/>
                </c:manualLayout>
              </c:layout>
              <c:tx>
                <c:rich>
                  <a:bodyPr/>
                  <a:lstStyle/>
                  <a:p>
                    <a:fld id="{CD25F013-B903-47F4-9159-AC92118785C6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8-B114-41AB-BFAC-348628359332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trendline>
            <c:spPr>
              <a:ln>
                <a:solidFill>
                  <a:schemeClr val="accent2"/>
                </a:solidFill>
                <a:prstDash val="sysDash"/>
              </a:ln>
            </c:spPr>
            <c:trendlineType val="linear"/>
            <c:dispRSqr val="0"/>
            <c:dispEq val="0"/>
          </c:trendline>
          <c:xVal>
            <c:numRef>
              <c:f>Sync回路回帰分析!$F$26:$F$32</c:f>
              <c:numCache>
                <c:formatCode>#,##0</c:formatCode>
                <c:ptCount val="7"/>
                <c:pt idx="0">
                  <c:v>30226</c:v>
                </c:pt>
                <c:pt idx="1">
                  <c:v>26451</c:v>
                </c:pt>
                <c:pt idx="2">
                  <c:v>22184</c:v>
                </c:pt>
                <c:pt idx="3">
                  <c:v>12566</c:v>
                </c:pt>
                <c:pt idx="4">
                  <c:v>6432</c:v>
                </c:pt>
                <c:pt idx="5">
                  <c:v>3255</c:v>
                </c:pt>
                <c:pt idx="6">
                  <c:v>96</c:v>
                </c:pt>
              </c:numCache>
            </c:numRef>
          </c:xVal>
          <c:yVal>
            <c:numRef>
              <c:f>Sync回路回帰分析!$H$26:$H$32</c:f>
              <c:numCache>
                <c:formatCode>General</c:formatCode>
                <c:ptCount val="7"/>
                <c:pt idx="0">
                  <c:v>1.8938225806451614</c:v>
                </c:pt>
                <c:pt idx="1">
                  <c:v>1.8137096774193544</c:v>
                </c:pt>
                <c:pt idx="2">
                  <c:v>1.7232741935483864</c:v>
                </c:pt>
                <c:pt idx="3">
                  <c:v>1.6362419354838709</c:v>
                </c:pt>
                <c:pt idx="4">
                  <c:v>1.5922096774193537</c:v>
                </c:pt>
                <c:pt idx="5">
                  <c:v>1.5545</c:v>
                </c:pt>
                <c:pt idx="6">
                  <c:v>1.5473064516129043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Sync回路回帰分析!$C$26:$C$32</c15:f>
                <c15:dlblRangeCache>
                  <c:ptCount val="7"/>
                  <c:pt idx="0">
                    <c:v>62.5MHz100N16M</c:v>
                  </c:pt>
                  <c:pt idx="1">
                    <c:v>62.5MHz100N12M</c:v>
                  </c:pt>
                  <c:pt idx="2">
                    <c:v>62.5MHz100N8M</c:v>
                  </c:pt>
                  <c:pt idx="3">
                    <c:v>62.5MHz100N4M</c:v>
                  </c:pt>
                  <c:pt idx="4">
                    <c:v>62.5MHz100N2M</c:v>
                  </c:pt>
                  <c:pt idx="5">
                    <c:v>62.5MHz100N1M</c:v>
                  </c:pt>
                  <c:pt idx="6">
                    <c:v>62.5MHz100N0M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9-B114-41AB-BFAC-348628359332}"/>
            </c:ext>
          </c:extLst>
        </c:ser>
        <c:ser>
          <c:idx val="7"/>
          <c:order val="1"/>
          <c:tx>
            <c:strRef>
              <c:f>Sync回路回帰分析!$H$33</c:f>
              <c:strCache>
                <c:ptCount val="1"/>
                <c:pt idx="0">
                  <c:v>300N62.5MHz電力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dLbl>
              <c:idx val="0"/>
              <c:layout>
                <c:manualLayout>
                  <c:x val="-6.4283626816903595E-3"/>
                  <c:y val="-7.1336134009531765E-3"/>
                </c:manualLayout>
              </c:layout>
              <c:tx>
                <c:rich>
                  <a:bodyPr/>
                  <a:lstStyle/>
                  <a:p>
                    <a:fld id="{2345FEC0-51C6-436D-B498-74D3CFD441F3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9-B114-41AB-BFAC-34862835933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9902155-988A-4258-8D86-19046E069B0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B114-41AB-BFAC-34862835933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BA08E9A-F6F2-42D5-988D-A7D8493FAED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B114-41AB-BFAC-348628359332}"/>
                </c:ext>
              </c:extLst>
            </c:dLbl>
            <c:dLbl>
              <c:idx val="3"/>
              <c:layout>
                <c:manualLayout>
                  <c:x val="-6.5201435451315876E-2"/>
                  <c:y val="-3.242587755285313E-2"/>
                </c:manualLayout>
              </c:layout>
              <c:tx>
                <c:rich>
                  <a:bodyPr/>
                  <a:lstStyle/>
                  <a:p>
                    <a:fld id="{EF298DE8-90B9-4816-A112-0882C6495547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C-B114-41AB-BFAC-348628359332}"/>
                </c:ext>
              </c:extLst>
            </c:dLbl>
            <c:dLbl>
              <c:idx val="4"/>
              <c:layout>
                <c:manualLayout>
                  <c:x val="-1.3774996777893537E-2"/>
                  <c:y val="-4.8520954740425691E-2"/>
                </c:manualLayout>
              </c:layout>
              <c:tx>
                <c:rich>
                  <a:bodyPr/>
                  <a:lstStyle/>
                  <a:p>
                    <a:fld id="{F4AEF252-C128-4B0F-8304-B724F4E4990E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D-B114-41AB-BFAC-348628359332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>
                <a:solidFill>
                  <a:schemeClr val="accent1"/>
                </a:solidFill>
                <a:prstDash val="sysDash"/>
              </a:ln>
            </c:spPr>
            <c:trendlineType val="linear"/>
            <c:dispRSqr val="0"/>
            <c:dispEq val="0"/>
          </c:trendline>
          <c:xVal>
            <c:numRef>
              <c:f>Sync回路回帰分析!$F$34:$F$38</c:f>
              <c:numCache>
                <c:formatCode>#,##0</c:formatCode>
                <c:ptCount val="5"/>
                <c:pt idx="0">
                  <c:v>30884</c:v>
                </c:pt>
                <c:pt idx="1">
                  <c:v>22896</c:v>
                </c:pt>
                <c:pt idx="2">
                  <c:v>15328</c:v>
                </c:pt>
                <c:pt idx="3">
                  <c:v>7830</c:v>
                </c:pt>
                <c:pt idx="4" formatCode="General">
                  <c:v>96</c:v>
                </c:pt>
              </c:numCache>
            </c:numRef>
          </c:xVal>
          <c:yVal>
            <c:numRef>
              <c:f>Sync回路回帰分析!$H$34:$H$38</c:f>
              <c:numCache>
                <c:formatCode>General</c:formatCode>
                <c:ptCount val="5"/>
                <c:pt idx="0">
                  <c:v>1.885</c:v>
                </c:pt>
                <c:pt idx="1">
                  <c:v>1.8492741935483872</c:v>
                </c:pt>
                <c:pt idx="2">
                  <c:v>1.7670483870967757</c:v>
                </c:pt>
                <c:pt idx="3">
                  <c:v>1.7039193548387102</c:v>
                </c:pt>
                <c:pt idx="4">
                  <c:v>1.6343709677419351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Sync回路回帰分析!$C$34:$C$38</c15:f>
                <c15:dlblRangeCache>
                  <c:ptCount val="5"/>
                  <c:pt idx="0">
                    <c:v>62.5MHz300N4M</c:v>
                  </c:pt>
                  <c:pt idx="1">
                    <c:v>62.5MHz300N3M</c:v>
                  </c:pt>
                  <c:pt idx="2">
                    <c:v>62.5MHz300N2M </c:v>
                  </c:pt>
                  <c:pt idx="3">
                    <c:v>62.5MHz300N1M</c:v>
                  </c:pt>
                  <c:pt idx="4">
                    <c:v>62.5MHz300N0M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A-B114-41AB-BFAC-348628359332}"/>
            </c:ext>
          </c:extLst>
        </c:ser>
        <c:ser>
          <c:idx val="8"/>
          <c:order val="2"/>
          <c:tx>
            <c:strRef>
              <c:f>Sync回路回帰分析!$H$39</c:f>
              <c:strCache>
                <c:ptCount val="1"/>
                <c:pt idx="0">
                  <c:v>300N125MHz電力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A49801A-4140-4861-A956-214C421F4FF0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0-B114-41AB-BFAC-34862835933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66AD122-DB4B-48E2-A906-8D1E9EDEDB6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B114-41AB-BFAC-348628359332}"/>
                </c:ext>
              </c:extLst>
            </c:dLbl>
            <c:dLbl>
              <c:idx val="2"/>
              <c:layout>
                <c:manualLayout>
                  <c:x val="-8.8324937345359136E-2"/>
                  <c:y val="-5.0820251481507497E-2"/>
                </c:manualLayout>
              </c:layout>
              <c:tx>
                <c:rich>
                  <a:bodyPr/>
                  <a:lstStyle/>
                  <a:p>
                    <a:fld id="{B91A1436-D127-4878-B91A-1ACFF639D563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F-B114-41AB-BFAC-34862835933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9D07D21-F979-4B0E-AF79-D40AD9281D0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B114-41AB-BFAC-348628359332}"/>
                </c:ext>
              </c:extLst>
            </c:dLbl>
            <c:dLbl>
              <c:idx val="4"/>
              <c:layout>
                <c:manualLayout>
                  <c:x val="-1.6346550101614941E-3"/>
                  <c:y val="-2.0929393847444099E-2"/>
                </c:manualLayout>
              </c:layout>
              <c:tx>
                <c:rich>
                  <a:bodyPr/>
                  <a:lstStyle/>
                  <a:p>
                    <a:fld id="{E0184F90-C330-47FE-AEF5-8A41F997B5C2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E-B114-41AB-BFAC-348628359332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>
                <a:solidFill>
                  <a:schemeClr val="accent3"/>
                </a:solidFill>
              </a:ln>
            </c:spPr>
            <c:trendlineType val="linear"/>
            <c:forward val="2"/>
            <c:dispRSqr val="0"/>
            <c:dispEq val="0"/>
          </c:trendline>
          <c:xVal>
            <c:numRef>
              <c:f>Sync回路回帰分析!$F$34:$F$38</c:f>
              <c:numCache>
                <c:formatCode>#,##0</c:formatCode>
                <c:ptCount val="5"/>
                <c:pt idx="0">
                  <c:v>30884</c:v>
                </c:pt>
                <c:pt idx="1">
                  <c:v>22896</c:v>
                </c:pt>
                <c:pt idx="2">
                  <c:v>15328</c:v>
                </c:pt>
                <c:pt idx="3">
                  <c:v>7830</c:v>
                </c:pt>
                <c:pt idx="4" formatCode="General">
                  <c:v>96</c:v>
                </c:pt>
              </c:numCache>
            </c:numRef>
          </c:xVal>
          <c:yVal>
            <c:numRef>
              <c:f>Sync回路回帰分析!$H$40:$H$44</c:f>
              <c:numCache>
                <c:formatCode>General</c:formatCode>
                <c:ptCount val="5"/>
                <c:pt idx="0">
                  <c:v>2.3286935483870961</c:v>
                </c:pt>
                <c:pt idx="1">
                  <c:v>2.2266935483870971</c:v>
                </c:pt>
                <c:pt idx="2">
                  <c:v>2.0861935483870964</c:v>
                </c:pt>
                <c:pt idx="3">
                  <c:v>2.0621774193548377</c:v>
                </c:pt>
                <c:pt idx="4">
                  <c:v>1.8033225806451634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Sync回路回帰分析!$C$40:$C$44</c15:f>
                <c15:dlblRangeCache>
                  <c:ptCount val="5"/>
                  <c:pt idx="0">
                    <c:v>125MHz300N4M</c:v>
                  </c:pt>
                  <c:pt idx="1">
                    <c:v>125MHz300N3M</c:v>
                  </c:pt>
                  <c:pt idx="2">
                    <c:v>125MHz300N2M </c:v>
                  </c:pt>
                  <c:pt idx="3">
                    <c:v>125MHz300N1M</c:v>
                  </c:pt>
                  <c:pt idx="4">
                    <c:v>125MHz300N0M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B-B114-41AB-BFAC-34862835933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27385456"/>
        <c:axId val="412589088"/>
        <c:extLst/>
      </c:scatterChart>
      <c:valAx>
        <c:axId val="42738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LUT</a:t>
                </a:r>
                <a:r>
                  <a:rPr lang="ja-JP" altLang="en-US"/>
                  <a:t>数</a:t>
                </a:r>
                <a:endParaRPr lang="en-US" altLang="ja-JP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2589088"/>
        <c:crosses val="autoZero"/>
        <c:crossBetween val="midCat"/>
      </c:valAx>
      <c:valAx>
        <c:axId val="412589088"/>
        <c:scaling>
          <c:orientation val="minMax"/>
          <c:min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100"/>
                  <a:t>電力</a:t>
                </a:r>
                <a:r>
                  <a:rPr lang="en-US" altLang="ja-JP" sz="1100"/>
                  <a:t>[W]</a:t>
                </a:r>
                <a:endParaRPr lang="ja-JP" alt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385456"/>
        <c:crosses val="autoZero"/>
        <c:crossBetween val="midCat"/>
        <c:majorUnit val="0.2"/>
      </c:valAx>
    </c:plotArea>
    <c:legend>
      <c:legendPos val="b"/>
      <c:layout>
        <c:manualLayout>
          <c:xMode val="edge"/>
          <c:yMode val="edge"/>
          <c:x val="0.22092335274001687"/>
          <c:y val="0.87986120213751318"/>
          <c:w val="0.5772544274750695"/>
          <c:h val="0.108642314157077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39374453193350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Sync回路回帰分析!$AG$88</c:f>
              <c:strCache>
                <c:ptCount val="1"/>
                <c:pt idx="0">
                  <c:v>実測値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Sync回路回帰分析!$AI$90:$AI$96</c:f>
              <c:numCache>
                <c:formatCode>#,##0</c:formatCode>
                <c:ptCount val="7"/>
                <c:pt idx="0">
                  <c:v>30226</c:v>
                </c:pt>
                <c:pt idx="1">
                  <c:v>26451</c:v>
                </c:pt>
                <c:pt idx="2">
                  <c:v>22184</c:v>
                </c:pt>
                <c:pt idx="3">
                  <c:v>12566</c:v>
                </c:pt>
                <c:pt idx="4">
                  <c:v>6432</c:v>
                </c:pt>
                <c:pt idx="5">
                  <c:v>3255</c:v>
                </c:pt>
                <c:pt idx="6">
                  <c:v>96</c:v>
                </c:pt>
              </c:numCache>
            </c:numRef>
          </c:xVal>
          <c:yVal>
            <c:numRef>
              <c:f>Sync回路回帰分析!$AG$90:$AG$96</c:f>
              <c:numCache>
                <c:formatCode>General</c:formatCode>
                <c:ptCount val="7"/>
                <c:pt idx="0">
                  <c:v>1.8938225806451614</c:v>
                </c:pt>
                <c:pt idx="1">
                  <c:v>1.8137096774193544</c:v>
                </c:pt>
                <c:pt idx="2">
                  <c:v>1.7232741935483864</c:v>
                </c:pt>
                <c:pt idx="3">
                  <c:v>1.6362419354838709</c:v>
                </c:pt>
                <c:pt idx="4">
                  <c:v>1.5922096774193537</c:v>
                </c:pt>
                <c:pt idx="5">
                  <c:v>1.5545</c:v>
                </c:pt>
                <c:pt idx="6">
                  <c:v>1.5473064516129043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2C-4876-B1C5-2CA36859F96A}"/>
            </c:ext>
          </c:extLst>
        </c:ser>
        <c:ser>
          <c:idx val="1"/>
          <c:order val="1"/>
          <c:tx>
            <c:strRef>
              <c:f>Sync回路回帰分析!$AH$88</c:f>
              <c:strCache>
                <c:ptCount val="1"/>
                <c:pt idx="0">
                  <c:v>Y（電力[W]）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Sync回路回帰分析!$AI$90:$AI$96</c:f>
              <c:numCache>
                <c:formatCode>#,##0</c:formatCode>
                <c:ptCount val="7"/>
                <c:pt idx="0">
                  <c:v>30226</c:v>
                </c:pt>
                <c:pt idx="1">
                  <c:v>26451</c:v>
                </c:pt>
                <c:pt idx="2">
                  <c:v>22184</c:v>
                </c:pt>
                <c:pt idx="3">
                  <c:v>12566</c:v>
                </c:pt>
                <c:pt idx="4">
                  <c:v>6432</c:v>
                </c:pt>
                <c:pt idx="5">
                  <c:v>3255</c:v>
                </c:pt>
                <c:pt idx="6">
                  <c:v>96</c:v>
                </c:pt>
              </c:numCache>
            </c:numRef>
          </c:xVal>
          <c:yVal>
            <c:numRef>
              <c:f>Sync回路回帰分析!$AH$90:$AH$96</c:f>
              <c:numCache>
                <c:formatCode>General</c:formatCode>
                <c:ptCount val="7"/>
                <c:pt idx="0">
                  <c:v>1.8542865088088116</c:v>
                </c:pt>
                <c:pt idx="1">
                  <c:v>1.8125956592556118</c:v>
                </c:pt>
                <c:pt idx="2">
                  <c:v>1.7654711943434258</c:v>
                </c:pt>
                <c:pt idx="3">
                  <c:v>1.6592506404354328</c:v>
                </c:pt>
                <c:pt idx="4">
                  <c:v>1.5915071513866046</c:v>
                </c:pt>
                <c:pt idx="5">
                  <c:v>1.5564205741599779</c:v>
                </c:pt>
                <c:pt idx="6">
                  <c:v>1.521532787739168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2C-4876-B1C5-2CA36859F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661951"/>
        <c:axId val="2034270831"/>
      </c:scatterChart>
      <c:valAx>
        <c:axId val="199766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270831"/>
        <c:crosses val="autoZero"/>
        <c:crossBetween val="midCat"/>
      </c:valAx>
      <c:valAx>
        <c:axId val="2034270831"/>
        <c:scaling>
          <c:orientation val="minMax"/>
          <c:min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97661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Sync回路回帰分析!$AG$109</c:f>
              <c:strCache>
                <c:ptCount val="1"/>
                <c:pt idx="0">
                  <c:v>実測値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Sync回路回帰分析!$AI$111:$AI$115</c:f>
              <c:numCache>
                <c:formatCode>#,##0</c:formatCode>
                <c:ptCount val="5"/>
                <c:pt idx="0">
                  <c:v>30884</c:v>
                </c:pt>
                <c:pt idx="1">
                  <c:v>22896</c:v>
                </c:pt>
                <c:pt idx="2">
                  <c:v>15328</c:v>
                </c:pt>
                <c:pt idx="3">
                  <c:v>7830</c:v>
                </c:pt>
                <c:pt idx="4" formatCode="General">
                  <c:v>96</c:v>
                </c:pt>
              </c:numCache>
            </c:numRef>
          </c:xVal>
          <c:yVal>
            <c:numRef>
              <c:f>Sync回路回帰分析!$AG$111:$AG$115</c:f>
              <c:numCache>
                <c:formatCode>General</c:formatCode>
                <c:ptCount val="5"/>
                <c:pt idx="0">
                  <c:v>1.885</c:v>
                </c:pt>
                <c:pt idx="1">
                  <c:v>1.8492741935483872</c:v>
                </c:pt>
                <c:pt idx="2">
                  <c:v>1.7670483870967757</c:v>
                </c:pt>
                <c:pt idx="3">
                  <c:v>1.7039193548387102</c:v>
                </c:pt>
                <c:pt idx="4">
                  <c:v>1.6343709677419351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B4-446F-AAFC-E5CA98C493D8}"/>
            </c:ext>
          </c:extLst>
        </c:ser>
        <c:ser>
          <c:idx val="1"/>
          <c:order val="1"/>
          <c:tx>
            <c:strRef>
              <c:f>Sync回路回帰分析!$AG$109</c:f>
              <c:strCache>
                <c:ptCount val="1"/>
                <c:pt idx="0">
                  <c:v>実測値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Sync回路回帰分析!$AI$111:$AI$115</c:f>
              <c:numCache>
                <c:formatCode>#,##0</c:formatCode>
                <c:ptCount val="5"/>
                <c:pt idx="0">
                  <c:v>30884</c:v>
                </c:pt>
                <c:pt idx="1">
                  <c:v>22896</c:v>
                </c:pt>
                <c:pt idx="2">
                  <c:v>15328</c:v>
                </c:pt>
                <c:pt idx="3">
                  <c:v>7830</c:v>
                </c:pt>
                <c:pt idx="4" formatCode="General">
                  <c:v>96</c:v>
                </c:pt>
              </c:numCache>
            </c:numRef>
          </c:xVal>
          <c:yVal>
            <c:numRef>
              <c:f>Sync回路回帰分析!$AG$116:$AG$120</c:f>
              <c:numCache>
                <c:formatCode>General</c:formatCode>
                <c:ptCount val="5"/>
                <c:pt idx="0">
                  <c:v>2.3286935483870961</c:v>
                </c:pt>
                <c:pt idx="1">
                  <c:v>2.2266935483870971</c:v>
                </c:pt>
                <c:pt idx="2">
                  <c:v>2.0861935483870964</c:v>
                </c:pt>
                <c:pt idx="3">
                  <c:v>2.0621774193548377</c:v>
                </c:pt>
                <c:pt idx="4">
                  <c:v>1.8033225806451634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B4-446F-AAFC-E5CA98C493D8}"/>
            </c:ext>
          </c:extLst>
        </c:ser>
        <c:ser>
          <c:idx val="2"/>
          <c:order val="2"/>
          <c:tx>
            <c:strRef>
              <c:f>Sync回路回帰分析!$AH$109</c:f>
              <c:strCache>
                <c:ptCount val="1"/>
                <c:pt idx="0">
                  <c:v>Y（電力[W]）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Sync回路回帰分析!$AI$116:$AI$120</c:f>
              <c:numCache>
                <c:formatCode>#,##0</c:formatCode>
                <c:ptCount val="5"/>
                <c:pt idx="0">
                  <c:v>30884</c:v>
                </c:pt>
                <c:pt idx="1">
                  <c:v>22896</c:v>
                </c:pt>
                <c:pt idx="2">
                  <c:v>15328</c:v>
                </c:pt>
                <c:pt idx="3">
                  <c:v>7830</c:v>
                </c:pt>
                <c:pt idx="4" formatCode="General">
                  <c:v>96</c:v>
                </c:pt>
              </c:numCache>
            </c:numRef>
          </c:xVal>
          <c:yVal>
            <c:numRef>
              <c:f>Sync回路回帰分析!$AH$111:$AH$115</c:f>
              <c:numCache>
                <c:formatCode>General</c:formatCode>
                <c:ptCount val="5"/>
                <c:pt idx="0">
                  <c:v>1.9558920844625884</c:v>
                </c:pt>
                <c:pt idx="1">
                  <c:v>1.8588783871211054</c:v>
                </c:pt>
                <c:pt idx="2">
                  <c:v>1.7669655601956742</c:v>
                </c:pt>
                <c:pt idx="3">
                  <c:v>1.6759028783395851</c:v>
                </c:pt>
                <c:pt idx="4">
                  <c:v>1.5819739931068573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B4-446F-AAFC-E5CA98C493D8}"/>
            </c:ext>
          </c:extLst>
        </c:ser>
        <c:ser>
          <c:idx val="3"/>
          <c:order val="3"/>
          <c:tx>
            <c:strRef>
              <c:f>Sync回路回帰分析!$AH$109</c:f>
              <c:strCache>
                <c:ptCount val="1"/>
                <c:pt idx="0">
                  <c:v>Y（電力[W]）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Sync回路回帰分析!$AI$116:$AI$120</c:f>
              <c:numCache>
                <c:formatCode>#,##0</c:formatCode>
                <c:ptCount val="5"/>
                <c:pt idx="0">
                  <c:v>30884</c:v>
                </c:pt>
                <c:pt idx="1">
                  <c:v>22896</c:v>
                </c:pt>
                <c:pt idx="2">
                  <c:v>15328</c:v>
                </c:pt>
                <c:pt idx="3">
                  <c:v>7830</c:v>
                </c:pt>
                <c:pt idx="4" formatCode="General">
                  <c:v>96</c:v>
                </c:pt>
              </c:numCache>
            </c:numRef>
          </c:xVal>
          <c:yVal>
            <c:numRef>
              <c:f>Sync回路回帰分析!$AH$116:$AH$120</c:f>
              <c:numCache>
                <c:formatCode>General</c:formatCode>
                <c:ptCount val="5"/>
                <c:pt idx="0">
                  <c:v>2.2893856328496849</c:v>
                </c:pt>
                <c:pt idx="1">
                  <c:v>2.1923719355082021</c:v>
                </c:pt>
                <c:pt idx="2">
                  <c:v>2.1004591085827706</c:v>
                </c:pt>
                <c:pt idx="3">
                  <c:v>2.0093964267266813</c:v>
                </c:pt>
                <c:pt idx="4">
                  <c:v>1.9154675414939537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B4-446F-AAFC-E5CA98C49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661951"/>
        <c:axId val="2024641935"/>
      </c:scatterChart>
      <c:valAx>
        <c:axId val="199766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LUT</a:t>
                </a:r>
                <a:r>
                  <a:rPr lang="ja-JP" altLang="en-US"/>
                  <a:t>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4641935"/>
        <c:crosses val="autoZero"/>
        <c:crossBetween val="midCat"/>
      </c:valAx>
      <c:valAx>
        <c:axId val="2024641935"/>
        <c:scaling>
          <c:orientation val="minMax"/>
          <c:min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</a:t>
                </a:r>
                <a:r>
                  <a:rPr lang="en-US" altLang="ja-JP"/>
                  <a:t>[W]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97661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各実測値の比較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7.3842302465397525E-2"/>
          <c:y val="9.3786078098471989E-2"/>
          <c:w val="0.89328206217973638"/>
          <c:h val="0.70433841779964257"/>
        </c:manualLayout>
      </c:layout>
      <c:scatterChart>
        <c:scatterStyle val="lineMarker"/>
        <c:varyColors val="0"/>
        <c:ser>
          <c:idx val="0"/>
          <c:order val="0"/>
          <c:tx>
            <c:strRef>
              <c:f>Sync回路回帰分析!$H$25</c:f>
              <c:strCache>
                <c:ptCount val="1"/>
                <c:pt idx="0">
                  <c:v>100N62.5MHz電力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8832706731957054E-3"/>
                  <c:y val="3.5148679420165856E-2"/>
                </c:manualLayout>
              </c:layout>
              <c:tx>
                <c:rich>
                  <a:bodyPr/>
                  <a:lstStyle/>
                  <a:p>
                    <a:r>
                      <a:rPr lang="en-US" altLang="ja-JP"/>
                      <a:t>100N16M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99-4149-9014-E26CE0C19C48}"/>
                </c:ext>
              </c:extLst>
            </c:dLbl>
            <c:dLbl>
              <c:idx val="1"/>
              <c:layout>
                <c:manualLayout>
                  <c:x val="-2.3096009827828067E-3"/>
                  <c:y val="1.9283540321466609E-2"/>
                </c:manualLayout>
              </c:layout>
              <c:tx>
                <c:rich>
                  <a:bodyPr/>
                  <a:lstStyle/>
                  <a:p>
                    <a:fld id="{CE25907F-8478-49AE-94D7-E0BFFDACC1ED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099-4149-9014-E26CE0C19C48}"/>
                </c:ext>
              </c:extLst>
            </c:dLbl>
            <c:dLbl>
              <c:idx val="2"/>
              <c:layout>
                <c:manualLayout>
                  <c:x val="-4.1051735084024259E-2"/>
                  <c:y val="1.6994862059899557E-2"/>
                </c:manualLayout>
              </c:layout>
              <c:tx>
                <c:rich>
                  <a:bodyPr/>
                  <a:lstStyle/>
                  <a:p>
                    <a:fld id="{411D6E1F-4D4C-4E56-BA8F-62045360F660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099-4149-9014-E26CE0C19C4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D1D3EEF-717F-4D6B-9EA1-0AE33913E8B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099-4149-9014-E26CE0C19C4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44AB21A-9DEF-4395-85BA-1A7C56589CC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099-4149-9014-E26CE0C19C4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AF17A61-2B0C-4E2C-906C-96650CDF8B7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099-4149-9014-E26CE0C19C48}"/>
                </c:ext>
              </c:extLst>
            </c:dLbl>
            <c:dLbl>
              <c:idx val="6"/>
              <c:layout>
                <c:manualLayout>
                  <c:x val="-5.0218899405251108E-2"/>
                  <c:y val="3.8551022830688876E-2"/>
                </c:manualLayout>
              </c:layout>
              <c:tx>
                <c:rich>
                  <a:bodyPr/>
                  <a:lstStyle/>
                  <a:p>
                    <a:r>
                      <a:rPr lang="en-US" altLang="ja-JP"/>
                      <a:t>100N0M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099-4149-9014-E26CE0C19C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Sync回路回帰分析!$F$26:$F$32</c:f>
              <c:numCache>
                <c:formatCode>#,##0</c:formatCode>
                <c:ptCount val="7"/>
                <c:pt idx="0">
                  <c:v>30226</c:v>
                </c:pt>
                <c:pt idx="1">
                  <c:v>26451</c:v>
                </c:pt>
                <c:pt idx="2">
                  <c:v>22184</c:v>
                </c:pt>
                <c:pt idx="3">
                  <c:v>12566</c:v>
                </c:pt>
                <c:pt idx="4">
                  <c:v>6432</c:v>
                </c:pt>
                <c:pt idx="5">
                  <c:v>3255</c:v>
                </c:pt>
                <c:pt idx="6">
                  <c:v>96</c:v>
                </c:pt>
              </c:numCache>
            </c:numRef>
          </c:xVal>
          <c:yVal>
            <c:numRef>
              <c:f>Sync回路回帰分析!$H$26:$H$32</c:f>
              <c:numCache>
                <c:formatCode>General</c:formatCode>
                <c:ptCount val="7"/>
                <c:pt idx="0">
                  <c:v>1.8938225806451614</c:v>
                </c:pt>
                <c:pt idx="1">
                  <c:v>1.8137096774193544</c:v>
                </c:pt>
                <c:pt idx="2">
                  <c:v>1.7232741935483864</c:v>
                </c:pt>
                <c:pt idx="3">
                  <c:v>1.6362419354838709</c:v>
                </c:pt>
                <c:pt idx="4">
                  <c:v>1.5922096774193537</c:v>
                </c:pt>
                <c:pt idx="5">
                  <c:v>1.5545</c:v>
                </c:pt>
                <c:pt idx="6">
                  <c:v>1.5473064516129043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Sync回路回帰分析!$C$26:$C$32</c15:f>
                <c15:dlblRangeCache>
                  <c:ptCount val="7"/>
                  <c:pt idx="0">
                    <c:v>62.5MHz100N16M</c:v>
                  </c:pt>
                  <c:pt idx="1">
                    <c:v>62.5MHz100N12M</c:v>
                  </c:pt>
                  <c:pt idx="2">
                    <c:v>62.5MHz100N8M</c:v>
                  </c:pt>
                  <c:pt idx="3">
                    <c:v>62.5MHz100N4M</c:v>
                  </c:pt>
                  <c:pt idx="4">
                    <c:v>62.5MHz100N2M</c:v>
                  </c:pt>
                  <c:pt idx="5">
                    <c:v>62.5MHz100N1M</c:v>
                  </c:pt>
                  <c:pt idx="6">
                    <c:v>62.5MHz100N0M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2099-4149-9014-E26CE0C19C48}"/>
            </c:ext>
          </c:extLst>
        </c:ser>
        <c:ser>
          <c:idx val="1"/>
          <c:order val="1"/>
          <c:tx>
            <c:strRef>
              <c:f>Sync回路回帰分析!$H$33</c:f>
              <c:strCache>
                <c:ptCount val="1"/>
                <c:pt idx="0">
                  <c:v>300N62.5MHz電力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4280248460110211E-2"/>
                  <c:y val="5.6550316609405146E-3"/>
                </c:manualLayout>
              </c:layout>
              <c:tx>
                <c:rich>
                  <a:bodyPr/>
                  <a:lstStyle/>
                  <a:p>
                    <a:r>
                      <a:rPr lang="en-US" altLang="ja-JP"/>
                      <a:t>300N4M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099-4149-9014-E26CE0C19C4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4275078-4CE0-42CC-8752-C190B73D639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099-4149-9014-E26CE0C19C4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D05B571-C691-4508-9744-02E6F5B8513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099-4149-9014-E26CE0C19C4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76D6DF9-A086-4029-A6CA-53B75D0A4C1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099-4149-9014-E26CE0C19C4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099-4149-9014-E26CE0C19C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Sync回路回帰分析!$F$34:$F$38</c:f>
              <c:numCache>
                <c:formatCode>#,##0</c:formatCode>
                <c:ptCount val="5"/>
                <c:pt idx="0">
                  <c:v>30884</c:v>
                </c:pt>
                <c:pt idx="1">
                  <c:v>22896</c:v>
                </c:pt>
                <c:pt idx="2">
                  <c:v>15328</c:v>
                </c:pt>
                <c:pt idx="3">
                  <c:v>7830</c:v>
                </c:pt>
                <c:pt idx="4" formatCode="General">
                  <c:v>96</c:v>
                </c:pt>
              </c:numCache>
            </c:numRef>
          </c:xVal>
          <c:yVal>
            <c:numRef>
              <c:f>Sync回路回帰分析!$H$34:$H$38</c:f>
              <c:numCache>
                <c:formatCode>General</c:formatCode>
                <c:ptCount val="5"/>
                <c:pt idx="0">
                  <c:v>1.885</c:v>
                </c:pt>
                <c:pt idx="1">
                  <c:v>1.8492741935483872</c:v>
                </c:pt>
                <c:pt idx="2">
                  <c:v>1.7670483870967757</c:v>
                </c:pt>
                <c:pt idx="3">
                  <c:v>1.7039193548387102</c:v>
                </c:pt>
                <c:pt idx="4">
                  <c:v>1.6343709677419351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Sync回路回帰分析!$C$34:$C$37</c15:f>
                <c15:dlblRangeCache>
                  <c:ptCount val="4"/>
                  <c:pt idx="0">
                    <c:v>62.5MHz300N4M</c:v>
                  </c:pt>
                  <c:pt idx="1">
                    <c:v>62.5MHz300N3M</c:v>
                  </c:pt>
                  <c:pt idx="2">
                    <c:v>62.5MHz300N2M </c:v>
                  </c:pt>
                  <c:pt idx="3">
                    <c:v>62.5MHz300N1M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2099-4149-9014-E26CE0C19C48}"/>
            </c:ext>
          </c:extLst>
        </c:ser>
        <c:ser>
          <c:idx val="2"/>
          <c:order val="2"/>
          <c:tx>
            <c:strRef>
              <c:f>Sync回路回帰分析!$H$39</c:f>
              <c:strCache>
                <c:ptCount val="1"/>
                <c:pt idx="0">
                  <c:v>300N125MHz電力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4760336666684641E-2"/>
                  <c:y val="-2.954081587259224E-2"/>
                </c:manualLayout>
              </c:layout>
              <c:tx>
                <c:rich>
                  <a:bodyPr/>
                  <a:lstStyle/>
                  <a:p>
                    <a:r>
                      <a:rPr lang="en-US" altLang="ja-JP"/>
                      <a:t>300N4M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099-4149-9014-E26CE0C19C48}"/>
                </c:ext>
              </c:extLst>
            </c:dLbl>
            <c:dLbl>
              <c:idx val="1"/>
              <c:layout>
                <c:manualLayout>
                  <c:x val="-4.2807238723293693E-2"/>
                  <c:y val="-2.9381912006761865E-2"/>
                </c:manualLayout>
              </c:layout>
              <c:tx>
                <c:rich>
                  <a:bodyPr/>
                  <a:lstStyle/>
                  <a:p>
                    <a:r>
                      <a:rPr lang="en-US" altLang="ja-JP"/>
                      <a:t>300N3M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099-4149-9014-E26CE0C19C48}"/>
                </c:ext>
              </c:extLst>
            </c:dLbl>
            <c:dLbl>
              <c:idx val="2"/>
              <c:layout>
                <c:manualLayout>
                  <c:x val="5.8978233781383392E-3"/>
                  <c:y val="-2.5100568459093399E-2"/>
                </c:manualLayout>
              </c:layout>
              <c:tx>
                <c:rich>
                  <a:bodyPr/>
                  <a:lstStyle/>
                  <a:p>
                    <a:r>
                      <a:rPr lang="en-US" altLang="ja-JP"/>
                      <a:t>300N2M 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099-4149-9014-E26CE0C19C4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8881747-A90F-4A3D-8368-CDF9864539C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099-4149-9014-E26CE0C19C4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099-4149-9014-E26CE0C19C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Sync回路回帰分析!$F$34:$F$38</c:f>
              <c:numCache>
                <c:formatCode>#,##0</c:formatCode>
                <c:ptCount val="5"/>
                <c:pt idx="0">
                  <c:v>30884</c:v>
                </c:pt>
                <c:pt idx="1">
                  <c:v>22896</c:v>
                </c:pt>
                <c:pt idx="2">
                  <c:v>15328</c:v>
                </c:pt>
                <c:pt idx="3">
                  <c:v>7830</c:v>
                </c:pt>
                <c:pt idx="4" formatCode="General">
                  <c:v>96</c:v>
                </c:pt>
              </c:numCache>
            </c:numRef>
          </c:xVal>
          <c:yVal>
            <c:numRef>
              <c:f>Sync回路回帰分析!$H$40:$H$44</c:f>
              <c:numCache>
                <c:formatCode>General</c:formatCode>
                <c:ptCount val="5"/>
                <c:pt idx="0">
                  <c:v>2.3286935483870961</c:v>
                </c:pt>
                <c:pt idx="1">
                  <c:v>2.2266935483870971</c:v>
                </c:pt>
                <c:pt idx="2">
                  <c:v>2.0861935483870964</c:v>
                </c:pt>
                <c:pt idx="3">
                  <c:v>2.0621774193548377</c:v>
                </c:pt>
                <c:pt idx="4">
                  <c:v>1.8033225806451634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Sync回路回帰分析!$C$34:$C$37</c15:f>
                <c15:dlblRangeCache>
                  <c:ptCount val="4"/>
                  <c:pt idx="0">
                    <c:v>62.5MHz300N4M</c:v>
                  </c:pt>
                  <c:pt idx="1">
                    <c:v>62.5MHz300N3M</c:v>
                  </c:pt>
                  <c:pt idx="2">
                    <c:v>62.5MHz300N2M </c:v>
                  </c:pt>
                  <c:pt idx="3">
                    <c:v>62.5MHz300N1M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2099-4149-9014-E26CE0C19C48}"/>
            </c:ext>
          </c:extLst>
        </c:ser>
        <c:ser>
          <c:idx val="6"/>
          <c:order val="6"/>
          <c:tx>
            <c:strRef>
              <c:f>Sync回路回帰分析!$AO$45</c:f>
              <c:strCache>
                <c:ptCount val="1"/>
                <c:pt idx="0">
                  <c:v>実測値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0762523782991488E-3"/>
                  <c:y val="-3.3230396285353976E-3"/>
                </c:manualLayout>
              </c:layout>
              <c:tx>
                <c:rich>
                  <a:bodyPr/>
                  <a:lstStyle/>
                  <a:p>
                    <a:fld id="{7B911F38-8EE0-4D3F-BC67-E0AD7EB83790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2099-4149-9014-E26CE0C19C48}"/>
                </c:ext>
              </c:extLst>
            </c:dLbl>
            <c:dLbl>
              <c:idx val="1"/>
              <c:layout>
                <c:manualLayout>
                  <c:x val="-4.5209721167431931E-2"/>
                  <c:y val="-2.1452021887094622E-2"/>
                </c:manualLayout>
              </c:layout>
              <c:tx>
                <c:rich>
                  <a:bodyPr/>
                  <a:lstStyle/>
                  <a:p>
                    <a:fld id="{E6E83EA9-22F4-43BF-924F-A29EFCA4AE34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2099-4149-9014-E26CE0C19C48}"/>
                </c:ext>
              </c:extLst>
            </c:dLbl>
            <c:dLbl>
              <c:idx val="2"/>
              <c:layout>
                <c:manualLayout>
                  <c:x val="-3.2810046076470123E-3"/>
                  <c:y val="-3.3786523713398302E-3"/>
                </c:manualLayout>
              </c:layout>
              <c:tx>
                <c:rich>
                  <a:bodyPr/>
                  <a:lstStyle/>
                  <a:p>
                    <a:fld id="{A3B4BD44-49FB-43E2-9710-6DEEDB24D883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2099-4149-9014-E26CE0C19C48}"/>
                </c:ext>
              </c:extLst>
            </c:dLbl>
            <c:dLbl>
              <c:idx val="3"/>
              <c:layout>
                <c:manualLayout>
                  <c:x val="-4.6786284929730805E-3"/>
                  <c:y val="1.9258585885592823E-2"/>
                </c:manualLayout>
              </c:layout>
              <c:tx>
                <c:rich>
                  <a:bodyPr/>
                  <a:lstStyle/>
                  <a:p>
                    <a:fld id="{1CEF64D7-E857-42D9-AC7E-37A66DA7E10D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2099-4149-9014-E26CE0C19C4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5E2964F-BCAE-487C-A013-8EADEEA8D5B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2099-4149-9014-E26CE0C19C48}"/>
                </c:ext>
              </c:extLst>
            </c:dLbl>
            <c:dLbl>
              <c:idx val="5"/>
              <c:layout>
                <c:manualLayout>
                  <c:x val="-2.8896699197554798E-3"/>
                  <c:y val="1.9199051731436795E-2"/>
                </c:manualLayout>
              </c:layout>
              <c:tx>
                <c:rich>
                  <a:bodyPr/>
                  <a:lstStyle/>
                  <a:p>
                    <a:fld id="{5EBDBC3D-D398-4A85-BB70-6F037F779D4C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2099-4149-9014-E26CE0C19C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Sync回路回帰分析!$AS$47:$AS$52</c:f>
              <c:numCache>
                <c:formatCode>General</c:formatCode>
                <c:ptCount val="6"/>
                <c:pt idx="0">
                  <c:v>28734</c:v>
                </c:pt>
                <c:pt idx="1">
                  <c:v>25574</c:v>
                </c:pt>
                <c:pt idx="2">
                  <c:v>31691</c:v>
                </c:pt>
                <c:pt idx="3">
                  <c:v>22871</c:v>
                </c:pt>
                <c:pt idx="4">
                  <c:v>16895</c:v>
                </c:pt>
                <c:pt idx="5">
                  <c:v>11467</c:v>
                </c:pt>
              </c:numCache>
            </c:numRef>
          </c:xVal>
          <c:yVal>
            <c:numRef>
              <c:f>Sync回路回帰分析!$AO$47:$AO$52</c:f>
              <c:numCache>
                <c:formatCode>General</c:formatCode>
                <c:ptCount val="6"/>
                <c:pt idx="0">
                  <c:v>1.9193709677419377</c:v>
                </c:pt>
                <c:pt idx="1">
                  <c:v>1.8591451612903223</c:v>
                </c:pt>
                <c:pt idx="2">
                  <c:v>1.9903870967741939</c:v>
                </c:pt>
                <c:pt idx="3">
                  <c:v>1.7957741935483891</c:v>
                </c:pt>
                <c:pt idx="4">
                  <c:v>1.6870967741935479</c:v>
                </c:pt>
                <c:pt idx="5">
                  <c:v>1.6117741935483867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Sync回路回帰分析!$AN$47:$AN$52</c15:f>
                <c15:dlblRangeCache>
                  <c:ptCount val="6"/>
                  <c:pt idx="0">
                    <c:v>62.5MHz400N3M</c:v>
                  </c:pt>
                  <c:pt idx="1">
                    <c:v>62.5MHz400N2M</c:v>
                  </c:pt>
                  <c:pt idx="2">
                    <c:v>62.5MHz200N8M</c:v>
                  </c:pt>
                  <c:pt idx="3">
                    <c:v>62.5MHz200N4M</c:v>
                  </c:pt>
                  <c:pt idx="4">
                    <c:v>62.5MHz50N16M</c:v>
                  </c:pt>
                  <c:pt idx="5">
                    <c:v>62.5MHz50N8M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3-2099-4149-9014-E26CE0C19C48}"/>
            </c:ext>
          </c:extLst>
        </c:ser>
        <c:ser>
          <c:idx val="7"/>
          <c:order val="7"/>
          <c:tx>
            <c:strRef>
              <c:f>Sync回路回帰分析!$AP$46</c:f>
              <c:strCache>
                <c:ptCount val="1"/>
                <c:pt idx="0">
                  <c:v>推定値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0762523782991488E-3"/>
                  <c:y val="-7.8467441145408604E-3"/>
                </c:manualLayout>
              </c:layout>
              <c:tx>
                <c:rich>
                  <a:bodyPr/>
                  <a:lstStyle/>
                  <a:p>
                    <a:fld id="{DFF229DE-447C-4CCD-B058-64BD5D674368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2099-4149-9014-E26CE0C19C48}"/>
                </c:ext>
              </c:extLst>
            </c:dLbl>
            <c:dLbl>
              <c:idx val="1"/>
              <c:layout>
                <c:manualLayout>
                  <c:x val="-4.5209721167431931E-2"/>
                  <c:y val="-2.1452021887094705E-2"/>
                </c:manualLayout>
              </c:layout>
              <c:tx>
                <c:rich>
                  <a:bodyPr/>
                  <a:lstStyle/>
                  <a:p>
                    <a:fld id="{108F0826-39C4-42B9-9B25-2580780F2909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2099-4149-9014-E26CE0C19C48}"/>
                </c:ext>
              </c:extLst>
            </c:dLbl>
            <c:dLbl>
              <c:idx val="2"/>
              <c:layout>
                <c:manualLayout>
                  <c:x val="-3.2810046076470123E-3"/>
                  <c:y val="3.4125191057398827E-3"/>
                </c:manualLayout>
              </c:layout>
              <c:tx>
                <c:rich>
                  <a:bodyPr/>
                  <a:lstStyle/>
                  <a:p>
                    <a:fld id="{C1A8879E-1801-46B2-8821-1CB95590EE42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2099-4149-9014-E26CE0C19C48}"/>
                </c:ext>
              </c:extLst>
            </c:dLbl>
            <c:dLbl>
              <c:idx val="3"/>
              <c:layout>
                <c:manualLayout>
                  <c:x val="-4.6786284929730805E-3"/>
                  <c:y val="7.9399667571264966E-3"/>
                </c:manualLayout>
              </c:layout>
              <c:tx>
                <c:rich>
                  <a:bodyPr/>
                  <a:lstStyle/>
                  <a:p>
                    <a:fld id="{85E2968F-4DCD-4C9F-A796-A68A312BADAA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2099-4149-9014-E26CE0C19C48}"/>
                </c:ext>
              </c:extLst>
            </c:dLbl>
            <c:dLbl>
              <c:idx val="4"/>
              <c:layout>
                <c:manualLayout>
                  <c:x val="8.769814757609649E-4"/>
                  <c:y val="3.4067351750523538E-3"/>
                </c:manualLayout>
              </c:layout>
              <c:tx>
                <c:rich>
                  <a:bodyPr/>
                  <a:lstStyle/>
                  <a:p>
                    <a:fld id="{A4C8A5AF-DA6F-4266-B156-390DA700B57C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2099-4149-9014-E26CE0C19C48}"/>
                </c:ext>
              </c:extLst>
            </c:dLbl>
            <c:dLbl>
              <c:idx val="5"/>
              <c:layout>
                <c:manualLayout>
                  <c:x val="-2.8896699197554798E-3"/>
                  <c:y val="5.6436239188267017E-3"/>
                </c:manualLayout>
              </c:layout>
              <c:tx>
                <c:rich>
                  <a:bodyPr/>
                  <a:lstStyle/>
                  <a:p>
                    <a:fld id="{7B281B6A-FBF0-4D2C-BD67-6B67011BB8B9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2099-4149-9014-E26CE0C19C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Sync回路回帰分析!$AS$47:$AS$52</c:f>
              <c:numCache>
                <c:formatCode>General</c:formatCode>
                <c:ptCount val="6"/>
                <c:pt idx="0">
                  <c:v>28734</c:v>
                </c:pt>
                <c:pt idx="1">
                  <c:v>25574</c:v>
                </c:pt>
                <c:pt idx="2">
                  <c:v>31691</c:v>
                </c:pt>
                <c:pt idx="3">
                  <c:v>22871</c:v>
                </c:pt>
                <c:pt idx="4">
                  <c:v>16895</c:v>
                </c:pt>
                <c:pt idx="5">
                  <c:v>11467</c:v>
                </c:pt>
              </c:numCache>
            </c:numRef>
          </c:xVal>
          <c:yVal>
            <c:numRef>
              <c:f>Sync回路回帰分析!$AP$47:$AP$52</c:f>
              <c:numCache>
                <c:formatCode>General</c:formatCode>
                <c:ptCount val="6"/>
                <c:pt idx="0">
                  <c:v>1.9617510911172826</c:v>
                </c:pt>
                <c:pt idx="1">
                  <c:v>1.9248354604941778</c:v>
                </c:pt>
                <c:pt idx="2">
                  <c:v>1.9200192298670331</c:v>
                </c:pt>
                <c:pt idx="3">
                  <c:v>1.8169825646468474</c:v>
                </c:pt>
                <c:pt idx="4">
                  <c:v>1.6899629571844552</c:v>
                </c:pt>
                <c:pt idx="5">
                  <c:v>1.6265521840761594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Sync回路回帰分析!$AN$47:$AN$52</c15:f>
                <c15:dlblRangeCache>
                  <c:ptCount val="6"/>
                  <c:pt idx="0">
                    <c:v>62.5MHz400N3M</c:v>
                  </c:pt>
                  <c:pt idx="1">
                    <c:v>62.5MHz400N2M</c:v>
                  </c:pt>
                  <c:pt idx="2">
                    <c:v>62.5MHz200N8M</c:v>
                  </c:pt>
                  <c:pt idx="3">
                    <c:v>62.5MHz200N4M</c:v>
                  </c:pt>
                  <c:pt idx="4">
                    <c:v>62.5MHz50N16M</c:v>
                  </c:pt>
                  <c:pt idx="5">
                    <c:v>62.5MHz50N8M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4-2099-4149-9014-E26CE0C19C48}"/>
            </c:ext>
          </c:extLst>
        </c:ser>
        <c:ser>
          <c:idx val="8"/>
          <c:order val="8"/>
          <c:tx>
            <c:strRef>
              <c:f>Sync回路回帰分析!$AO$45</c:f>
              <c:strCache>
                <c:ptCount val="1"/>
                <c:pt idx="0">
                  <c:v>実測値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84562C9-5B26-4F82-ABAB-B441B4C9BBDF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2099-4149-9014-E26CE0C19C4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D082742-687C-46C3-B3B4-ECB8D93A454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2099-4149-9014-E26CE0C19C48}"/>
                </c:ext>
              </c:extLst>
            </c:dLbl>
            <c:dLbl>
              <c:idx val="2"/>
              <c:layout>
                <c:manualLayout>
                  <c:x val="-1.6946464732392917E-3"/>
                  <c:y val="1.1468481694025534E-3"/>
                </c:manualLayout>
              </c:layout>
              <c:tx>
                <c:rich>
                  <a:bodyPr/>
                  <a:lstStyle/>
                  <a:p>
                    <a:fld id="{2BA2651E-9967-4B20-8F93-97A131AE4A85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2099-4149-9014-E26CE0C19C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Sync回路回帰分析!$AS$53:$AS$55</c:f>
              <c:numCache>
                <c:formatCode>General</c:formatCode>
                <c:ptCount val="3"/>
                <c:pt idx="0">
                  <c:v>28734</c:v>
                </c:pt>
                <c:pt idx="1">
                  <c:v>25574</c:v>
                </c:pt>
                <c:pt idx="2">
                  <c:v>22871</c:v>
                </c:pt>
              </c:numCache>
            </c:numRef>
          </c:xVal>
          <c:yVal>
            <c:numRef>
              <c:f>Sync回路回帰分析!$AO$53:$AO$55</c:f>
              <c:numCache>
                <c:formatCode>General</c:formatCode>
                <c:ptCount val="3"/>
                <c:pt idx="0">
                  <c:v>2.3798387096774194</c:v>
                </c:pt>
                <c:pt idx="1">
                  <c:v>2.2529516129032259</c:v>
                </c:pt>
                <c:pt idx="2">
                  <c:v>2.1136129032258051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Sync回路回帰分析!$AN$53:$AN$55</c15:f>
                <c15:dlblRangeCache>
                  <c:ptCount val="3"/>
                  <c:pt idx="0">
                    <c:v>125MHz400N3M</c:v>
                  </c:pt>
                  <c:pt idx="1">
                    <c:v>125MHz400N2M</c:v>
                  </c:pt>
                  <c:pt idx="2">
                    <c:v>125MHz400N4M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6-2099-4149-9014-E26CE0C19C48}"/>
            </c:ext>
          </c:extLst>
        </c:ser>
        <c:ser>
          <c:idx val="9"/>
          <c:order val="9"/>
          <c:tx>
            <c:strRef>
              <c:f>Sync回路回帰分析!$AP$46</c:f>
              <c:strCache>
                <c:ptCount val="1"/>
                <c:pt idx="0">
                  <c:v>推定値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8B597E2-4999-4508-A349-290AC191670F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2099-4149-9014-E26CE0C19C48}"/>
                </c:ext>
              </c:extLst>
            </c:dLbl>
            <c:dLbl>
              <c:idx val="1"/>
              <c:layout>
                <c:manualLayout>
                  <c:x val="-3.4063615657393305E-2"/>
                  <c:y val="-4.8570665954891276E-2"/>
                </c:manualLayout>
              </c:layout>
              <c:tx>
                <c:rich>
                  <a:bodyPr/>
                  <a:lstStyle/>
                  <a:p>
                    <a:fld id="{3BA22970-E39D-4D4D-8A16-476007791917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2099-4149-9014-E26CE0C19C48}"/>
                </c:ext>
              </c:extLst>
            </c:dLbl>
            <c:dLbl>
              <c:idx val="2"/>
              <c:layout>
                <c:manualLayout>
                  <c:x val="-1.6946464732391893E-3"/>
                  <c:y val="-1.2404850072857999E-2"/>
                </c:manualLayout>
              </c:layout>
              <c:tx>
                <c:rich>
                  <a:bodyPr/>
                  <a:lstStyle/>
                  <a:p>
                    <a:fld id="{3A4D29BE-5F47-46BB-8F04-E9AE3EB0D649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2099-4149-9014-E26CE0C19C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Sync回路回帰分析!$AS$53:$AS$55</c:f>
              <c:numCache>
                <c:formatCode>General</c:formatCode>
                <c:ptCount val="3"/>
                <c:pt idx="0">
                  <c:v>28734</c:v>
                </c:pt>
                <c:pt idx="1">
                  <c:v>25574</c:v>
                </c:pt>
                <c:pt idx="2">
                  <c:v>22871</c:v>
                </c:pt>
              </c:numCache>
            </c:numRef>
          </c:xVal>
          <c:yVal>
            <c:numRef>
              <c:f>Sync回路回帰分析!$AP$53:$AP$55</c:f>
              <c:numCache>
                <c:formatCode>General</c:formatCode>
                <c:ptCount val="3"/>
                <c:pt idx="0">
                  <c:v>2.2952446395043795</c:v>
                </c:pt>
                <c:pt idx="1">
                  <c:v>2.2583290088812742</c:v>
                </c:pt>
                <c:pt idx="2">
                  <c:v>2.1504761130339438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Sync回路回帰分析!$AN$53:$AN$55</c15:f>
                <c15:dlblRangeCache>
                  <c:ptCount val="3"/>
                  <c:pt idx="0">
                    <c:v>125MHz400N3M</c:v>
                  </c:pt>
                  <c:pt idx="1">
                    <c:v>125MHz400N2M</c:v>
                  </c:pt>
                  <c:pt idx="2">
                    <c:v>125MHz400N4M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7-2099-4149-9014-E26CE0C19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385456"/>
        <c:axId val="412589088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Sync回路回帰分析!$AG$47</c15:sqref>
                        </c15:formulaRef>
                      </c:ext>
                    </c:extLst>
                    <c:strCache>
                      <c:ptCount val="1"/>
                      <c:pt idx="0">
                        <c:v>100N16M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Sync回路回帰分析!$AK$47:$AK$53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30226</c:v>
                      </c:pt>
                      <c:pt idx="1">
                        <c:v>26451</c:v>
                      </c:pt>
                      <c:pt idx="2">
                        <c:v>22184</c:v>
                      </c:pt>
                      <c:pt idx="3">
                        <c:v>12566</c:v>
                      </c:pt>
                      <c:pt idx="4">
                        <c:v>6432</c:v>
                      </c:pt>
                      <c:pt idx="5">
                        <c:v>3255</c:v>
                      </c:pt>
                      <c:pt idx="6">
                        <c:v>96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Sync回路回帰分析!$AH$47:$AH$53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1.8643497221564689</c:v>
                      </c:pt>
                      <c:pt idx="1">
                        <c:v>1.8202495621557657</c:v>
                      </c:pt>
                      <c:pt idx="2">
                        <c:v>1.7704017786529844</c:v>
                      </c:pt>
                      <c:pt idx="3">
                        <c:v>1.6580427484843054</c:v>
                      </c:pt>
                      <c:pt idx="4">
                        <c:v>1.5863843692937589</c:v>
                      </c:pt>
                      <c:pt idx="5">
                        <c:v>1.5492701419236308</c:v>
                      </c:pt>
                      <c:pt idx="6">
                        <c:v>1.5123661934621153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7-2099-4149-9014-E26CE0C19C4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Sync回路回帰分析!$AG$54</c15:sqref>
                        </c15:formulaRef>
                      </c:ext>
                    </c:extLst>
                    <c:strCache>
                      <c:ptCount val="1"/>
                      <c:pt idx="0">
                        <c:v>300N4M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Sync回路回帰分析!$AK$54:$AK$58</c15:sqref>
                        </c15:formulaRef>
                      </c:ext>
                    </c:extLst>
                    <c:numCache>
                      <c:formatCode>#,##0</c:formatCode>
                      <c:ptCount val="5"/>
                      <c:pt idx="0">
                        <c:v>30884</c:v>
                      </c:pt>
                      <c:pt idx="1">
                        <c:v>22896</c:v>
                      </c:pt>
                      <c:pt idx="2">
                        <c:v>15328</c:v>
                      </c:pt>
                      <c:pt idx="3">
                        <c:v>7830</c:v>
                      </c:pt>
                      <c:pt idx="4" formatCode="General">
                        <c:v>96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Sync回路回帰分析!$AH$54:$AH$58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1.9487297319995673</c:v>
                      </c:pt>
                      <c:pt idx="1">
                        <c:v>1.8554126252219207</c:v>
                      </c:pt>
                      <c:pt idx="2">
                        <c:v>1.7670020263119017</c:v>
                      </c:pt>
                      <c:pt idx="3">
                        <c:v>1.6794091787131542</c:v>
                      </c:pt>
                      <c:pt idx="4">
                        <c:v>1.5890593409792635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2099-4149-9014-E26CE0C19C4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Sync回路回帰分析!$AG$59</c15:sqref>
                        </c15:formulaRef>
                      </c:ext>
                    </c:extLst>
                    <c:strCache>
                      <c:ptCount val="1"/>
                      <c:pt idx="0">
                        <c:v>300N4M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Sync回路回帰分析!$AK$59:$AK$63</c15:sqref>
                        </c15:formulaRef>
                      </c:ext>
                    </c:extLst>
                    <c:numCache>
                      <c:formatCode>#,##0</c:formatCode>
                      <c:ptCount val="5"/>
                      <c:pt idx="0">
                        <c:v>30884</c:v>
                      </c:pt>
                      <c:pt idx="1">
                        <c:v>22896</c:v>
                      </c:pt>
                      <c:pt idx="2">
                        <c:v>15328</c:v>
                      </c:pt>
                      <c:pt idx="3">
                        <c:v>7830</c:v>
                      </c:pt>
                      <c:pt idx="4" formatCode="General">
                        <c:v>96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Sync回路回帰分析!$AH$59:$AH$63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2.2822232803866633</c:v>
                      </c:pt>
                      <c:pt idx="1">
                        <c:v>2.1889061736090172</c:v>
                      </c:pt>
                      <c:pt idx="2">
                        <c:v>2.1004955746989982</c:v>
                      </c:pt>
                      <c:pt idx="3">
                        <c:v>2.0129027271002506</c:v>
                      </c:pt>
                      <c:pt idx="4">
                        <c:v>1.9225528893663597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2099-4149-9014-E26CE0C19C48}"/>
                  </c:ext>
                </c:extLst>
              </c15:ser>
            </c15:filteredScatterSeries>
          </c:ext>
        </c:extLst>
      </c:scatterChart>
      <c:valAx>
        <c:axId val="42738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LUT</a:t>
                </a:r>
                <a:r>
                  <a:rPr lang="ja-JP" altLang="en-US"/>
                  <a:t>数</a:t>
                </a:r>
                <a:endParaRPr lang="en-US" alt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2589088"/>
        <c:crosses val="autoZero"/>
        <c:crossBetween val="midCat"/>
      </c:valAx>
      <c:valAx>
        <c:axId val="412589088"/>
        <c:scaling>
          <c:orientation val="minMax"/>
          <c:min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</a:t>
                </a:r>
                <a:r>
                  <a:rPr lang="en-US" altLang="ja-JP"/>
                  <a:t>[W]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385456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各実測値の比較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Sync回路回帰分析!$H$25</c:f>
              <c:strCache>
                <c:ptCount val="1"/>
                <c:pt idx="0">
                  <c:v>100N62.5MHz電力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2977204094135575E-3"/>
                  <c:y val="-2.5971795898394139E-2"/>
                </c:manualLayout>
              </c:layout>
              <c:tx>
                <c:rich>
                  <a:bodyPr/>
                  <a:lstStyle/>
                  <a:p>
                    <a:r>
                      <a:rPr lang="en-US" altLang="ja-JP"/>
                      <a:t>100N16M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951-4896-8906-C0530B6DEC8A}"/>
                </c:ext>
              </c:extLst>
            </c:dLbl>
            <c:dLbl>
              <c:idx val="1"/>
              <c:layout>
                <c:manualLayout>
                  <c:x val="-1.2092968180066003E-2"/>
                  <c:y val="-1.4672360870145468E-2"/>
                </c:manualLayout>
              </c:layout>
              <c:tx>
                <c:rich>
                  <a:bodyPr/>
                  <a:lstStyle/>
                  <a:p>
                    <a:fld id="{37DF349F-12BC-48BA-A683-C7FFD0C4BC80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951-4896-8906-C0530B6DEC8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769A305-D28C-4301-AF05-59B405BB5E5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951-4896-8906-C0530B6DEC8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4C343A4-E600-48E4-BA4B-12ED0B4904E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951-4896-8906-C0530B6DEC8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16DCCC5-07CA-494A-BFC5-1C12E9C67FF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951-4896-8906-C0530B6DEC8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510884C-6274-4311-AB69-8248CA5778A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951-4896-8906-C0530B6DEC8A}"/>
                </c:ext>
              </c:extLst>
            </c:dLbl>
            <c:dLbl>
              <c:idx val="6"/>
              <c:layout>
                <c:manualLayout>
                  <c:x val="-5.0218899405251108E-2"/>
                  <c:y val="3.8551022830688876E-2"/>
                </c:manualLayout>
              </c:layout>
              <c:tx>
                <c:rich>
                  <a:bodyPr/>
                  <a:lstStyle/>
                  <a:p>
                    <a:r>
                      <a:rPr lang="en-US" altLang="ja-JP"/>
                      <a:t>100N0M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951-4896-8906-C0530B6DEC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Sync回路回帰分析!$F$26:$F$32</c:f>
              <c:numCache>
                <c:formatCode>#,##0</c:formatCode>
                <c:ptCount val="7"/>
                <c:pt idx="0">
                  <c:v>30226</c:v>
                </c:pt>
                <c:pt idx="1">
                  <c:v>26451</c:v>
                </c:pt>
                <c:pt idx="2">
                  <c:v>22184</c:v>
                </c:pt>
                <c:pt idx="3">
                  <c:v>12566</c:v>
                </c:pt>
                <c:pt idx="4">
                  <c:v>6432</c:v>
                </c:pt>
                <c:pt idx="5">
                  <c:v>3255</c:v>
                </c:pt>
                <c:pt idx="6">
                  <c:v>96</c:v>
                </c:pt>
              </c:numCache>
            </c:numRef>
          </c:xVal>
          <c:yVal>
            <c:numRef>
              <c:f>Sync回路回帰分析!$H$26:$H$32</c:f>
              <c:numCache>
                <c:formatCode>General</c:formatCode>
                <c:ptCount val="7"/>
                <c:pt idx="0">
                  <c:v>1.8938225806451614</c:v>
                </c:pt>
                <c:pt idx="1">
                  <c:v>1.8137096774193544</c:v>
                </c:pt>
                <c:pt idx="2">
                  <c:v>1.7232741935483864</c:v>
                </c:pt>
                <c:pt idx="3">
                  <c:v>1.6362419354838709</c:v>
                </c:pt>
                <c:pt idx="4">
                  <c:v>1.5922096774193537</c:v>
                </c:pt>
                <c:pt idx="5">
                  <c:v>1.5545</c:v>
                </c:pt>
                <c:pt idx="6">
                  <c:v>1.5473064516129043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Sync回路回帰分析!$C$26:$C$32</c15:f>
                <c15:dlblRangeCache>
                  <c:ptCount val="7"/>
                  <c:pt idx="0">
                    <c:v>62.5MHz100N16M</c:v>
                  </c:pt>
                  <c:pt idx="1">
                    <c:v>62.5MHz100N12M</c:v>
                  </c:pt>
                  <c:pt idx="2">
                    <c:v>62.5MHz100N8M</c:v>
                  </c:pt>
                  <c:pt idx="3">
                    <c:v>62.5MHz100N4M</c:v>
                  </c:pt>
                  <c:pt idx="4">
                    <c:v>62.5MHz100N2M</c:v>
                  </c:pt>
                  <c:pt idx="5">
                    <c:v>62.5MHz100N1M</c:v>
                  </c:pt>
                  <c:pt idx="6">
                    <c:v>62.5MHz100N0M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951-4896-8906-C0530B6DEC8A}"/>
            </c:ext>
          </c:extLst>
        </c:ser>
        <c:ser>
          <c:idx val="1"/>
          <c:order val="1"/>
          <c:tx>
            <c:strRef>
              <c:f>Sync回路回帰分析!$H$33</c:f>
              <c:strCache>
                <c:ptCount val="1"/>
                <c:pt idx="0">
                  <c:v>300N62.5MHz電力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9182662948914791E-3"/>
                  <c:y val="1.2446283197651141E-2"/>
                </c:manualLayout>
              </c:layout>
              <c:tx>
                <c:rich>
                  <a:bodyPr/>
                  <a:lstStyle/>
                  <a:p>
                    <a:r>
                      <a:rPr lang="en-US" altLang="ja-JP"/>
                      <a:t>300N4M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951-4896-8906-C0530B6DEC8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E40A133-D3F2-4407-9CF3-86BEC9E9422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951-4896-8906-C0530B6DEC8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A2B944E-5745-4C3D-9AD5-6E0A4523F32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951-4896-8906-C0530B6DEC8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1C78AC4-7EFE-4503-A317-E915B78C21B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951-4896-8906-C0530B6DEC8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951-4896-8906-C0530B6DEC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Sync回路回帰分析!$F$34:$F$38</c:f>
              <c:numCache>
                <c:formatCode>#,##0</c:formatCode>
                <c:ptCount val="5"/>
                <c:pt idx="0">
                  <c:v>30884</c:v>
                </c:pt>
                <c:pt idx="1">
                  <c:v>22896</c:v>
                </c:pt>
                <c:pt idx="2">
                  <c:v>15328</c:v>
                </c:pt>
                <c:pt idx="3">
                  <c:v>7830</c:v>
                </c:pt>
                <c:pt idx="4" formatCode="General">
                  <c:v>96</c:v>
                </c:pt>
              </c:numCache>
            </c:numRef>
          </c:xVal>
          <c:yVal>
            <c:numRef>
              <c:f>Sync回路回帰分析!$H$34:$H$38</c:f>
              <c:numCache>
                <c:formatCode>General</c:formatCode>
                <c:ptCount val="5"/>
                <c:pt idx="0">
                  <c:v>1.885</c:v>
                </c:pt>
                <c:pt idx="1">
                  <c:v>1.8492741935483872</c:v>
                </c:pt>
                <c:pt idx="2">
                  <c:v>1.7670483870967757</c:v>
                </c:pt>
                <c:pt idx="3">
                  <c:v>1.7039193548387102</c:v>
                </c:pt>
                <c:pt idx="4">
                  <c:v>1.6343709677419351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Sync回路回帰分析!$C$34:$C$37</c15:f>
                <c15:dlblRangeCache>
                  <c:ptCount val="4"/>
                  <c:pt idx="0">
                    <c:v>62.5MHz300N4M</c:v>
                  </c:pt>
                  <c:pt idx="1">
                    <c:v>62.5MHz300N3M</c:v>
                  </c:pt>
                  <c:pt idx="2">
                    <c:v>62.5MHz300N2M </c:v>
                  </c:pt>
                  <c:pt idx="3">
                    <c:v>62.5MHz300N1M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A951-4896-8906-C0530B6DEC8A}"/>
            </c:ext>
          </c:extLst>
        </c:ser>
        <c:ser>
          <c:idx val="2"/>
          <c:order val="2"/>
          <c:tx>
            <c:strRef>
              <c:f>Sync回路回帰分析!$H$39</c:f>
              <c:strCache>
                <c:ptCount val="1"/>
                <c:pt idx="0">
                  <c:v>300N125MHz電力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4760336666684641E-2"/>
                  <c:y val="-2.954081587259224E-2"/>
                </c:manualLayout>
              </c:layout>
              <c:tx>
                <c:rich>
                  <a:bodyPr/>
                  <a:lstStyle/>
                  <a:p>
                    <a:r>
                      <a:rPr lang="en-US" altLang="ja-JP"/>
                      <a:t>300N4M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951-4896-8906-C0530B6DEC8A}"/>
                </c:ext>
              </c:extLst>
            </c:dLbl>
            <c:dLbl>
              <c:idx val="1"/>
              <c:layout>
                <c:manualLayout>
                  <c:x val="-4.2807238723293693E-2"/>
                  <c:y val="-2.9381912006761865E-2"/>
                </c:manualLayout>
              </c:layout>
              <c:tx>
                <c:rich>
                  <a:bodyPr/>
                  <a:lstStyle/>
                  <a:p>
                    <a:r>
                      <a:rPr lang="en-US" altLang="ja-JP"/>
                      <a:t>300N3M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951-4896-8906-C0530B6DEC8A}"/>
                </c:ext>
              </c:extLst>
            </c:dLbl>
            <c:dLbl>
              <c:idx val="2"/>
              <c:layout>
                <c:manualLayout>
                  <c:x val="5.8978233781383392E-3"/>
                  <c:y val="-2.5100568459093399E-2"/>
                </c:manualLayout>
              </c:layout>
              <c:tx>
                <c:rich>
                  <a:bodyPr/>
                  <a:lstStyle/>
                  <a:p>
                    <a:r>
                      <a:rPr lang="en-US" altLang="ja-JP"/>
                      <a:t>300N2M 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951-4896-8906-C0530B6DEC8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D7CAB43-7D89-4861-9DE6-CA20AB7F3BC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951-4896-8906-C0530B6DEC8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951-4896-8906-C0530B6DEC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Sync回路回帰分析!$F$34:$F$38</c:f>
              <c:numCache>
                <c:formatCode>#,##0</c:formatCode>
                <c:ptCount val="5"/>
                <c:pt idx="0">
                  <c:v>30884</c:v>
                </c:pt>
                <c:pt idx="1">
                  <c:v>22896</c:v>
                </c:pt>
                <c:pt idx="2">
                  <c:v>15328</c:v>
                </c:pt>
                <c:pt idx="3">
                  <c:v>7830</c:v>
                </c:pt>
                <c:pt idx="4" formatCode="General">
                  <c:v>96</c:v>
                </c:pt>
              </c:numCache>
            </c:numRef>
          </c:xVal>
          <c:yVal>
            <c:numRef>
              <c:f>Sync回路回帰分析!$H$40:$H$44</c:f>
              <c:numCache>
                <c:formatCode>General</c:formatCode>
                <c:ptCount val="5"/>
                <c:pt idx="0">
                  <c:v>2.3286935483870961</c:v>
                </c:pt>
                <c:pt idx="1">
                  <c:v>2.2266935483870971</c:v>
                </c:pt>
                <c:pt idx="2">
                  <c:v>2.0861935483870964</c:v>
                </c:pt>
                <c:pt idx="3">
                  <c:v>2.0621774193548377</c:v>
                </c:pt>
                <c:pt idx="4">
                  <c:v>1.8033225806451634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Sync回路回帰分析!$C$34:$C$37</c15:f>
                <c15:dlblRangeCache>
                  <c:ptCount val="4"/>
                  <c:pt idx="0">
                    <c:v>62.5MHz300N4M</c:v>
                  </c:pt>
                  <c:pt idx="1">
                    <c:v>62.5MHz300N3M</c:v>
                  </c:pt>
                  <c:pt idx="2">
                    <c:v>62.5MHz300N2M </c:v>
                  </c:pt>
                  <c:pt idx="3">
                    <c:v>62.5MHz300N1M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A951-4896-8906-C0530B6DEC8A}"/>
            </c:ext>
          </c:extLst>
        </c:ser>
        <c:ser>
          <c:idx val="3"/>
          <c:order val="3"/>
          <c:tx>
            <c:strRef>
              <c:f>Sync回路回帰分析!$AG$47</c:f>
              <c:strCache>
                <c:ptCount val="1"/>
                <c:pt idx="0">
                  <c:v>100N16M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Sync回路回帰分析!$AK$47:$AK$53</c:f>
              <c:numCache>
                <c:formatCode>#,##0</c:formatCode>
                <c:ptCount val="7"/>
                <c:pt idx="0">
                  <c:v>30226</c:v>
                </c:pt>
                <c:pt idx="1">
                  <c:v>26451</c:v>
                </c:pt>
                <c:pt idx="2">
                  <c:v>22184</c:v>
                </c:pt>
                <c:pt idx="3">
                  <c:v>12566</c:v>
                </c:pt>
                <c:pt idx="4">
                  <c:v>6432</c:v>
                </c:pt>
                <c:pt idx="5">
                  <c:v>3255</c:v>
                </c:pt>
                <c:pt idx="6">
                  <c:v>96</c:v>
                </c:pt>
              </c:numCache>
              <c:extLst xmlns:c15="http://schemas.microsoft.com/office/drawing/2012/chart"/>
            </c:numRef>
          </c:xVal>
          <c:yVal>
            <c:numRef>
              <c:f>Sync回路回帰分析!$AH$47:$AH$53</c:f>
              <c:numCache>
                <c:formatCode>General</c:formatCode>
                <c:ptCount val="7"/>
                <c:pt idx="0">
                  <c:v>1.8643497221564689</c:v>
                </c:pt>
                <c:pt idx="1">
                  <c:v>1.8202495621557657</c:v>
                </c:pt>
                <c:pt idx="2">
                  <c:v>1.7704017786529844</c:v>
                </c:pt>
                <c:pt idx="3">
                  <c:v>1.6580427484843054</c:v>
                </c:pt>
                <c:pt idx="4">
                  <c:v>1.5863843692937589</c:v>
                </c:pt>
                <c:pt idx="5">
                  <c:v>1.5492701419236308</c:v>
                </c:pt>
                <c:pt idx="6">
                  <c:v>1.5123661934621153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D-A951-4896-8906-C0530B6DEC8A}"/>
            </c:ext>
          </c:extLst>
        </c:ser>
        <c:ser>
          <c:idx val="4"/>
          <c:order val="4"/>
          <c:tx>
            <c:strRef>
              <c:f>Sync回路回帰分析!$AG$54</c:f>
              <c:strCache>
                <c:ptCount val="1"/>
                <c:pt idx="0">
                  <c:v>300N4M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Sync回路回帰分析!$AK$54:$AK$58</c:f>
              <c:numCache>
                <c:formatCode>#,##0</c:formatCode>
                <c:ptCount val="5"/>
                <c:pt idx="0">
                  <c:v>30884</c:v>
                </c:pt>
                <c:pt idx="1">
                  <c:v>22896</c:v>
                </c:pt>
                <c:pt idx="2">
                  <c:v>15328</c:v>
                </c:pt>
                <c:pt idx="3">
                  <c:v>7830</c:v>
                </c:pt>
                <c:pt idx="4" formatCode="General">
                  <c:v>96</c:v>
                </c:pt>
              </c:numCache>
              <c:extLst xmlns:c15="http://schemas.microsoft.com/office/drawing/2012/chart"/>
            </c:numRef>
          </c:xVal>
          <c:yVal>
            <c:numRef>
              <c:f>Sync回路回帰分析!$AH$54:$AH$58</c:f>
              <c:numCache>
                <c:formatCode>General</c:formatCode>
                <c:ptCount val="5"/>
                <c:pt idx="0">
                  <c:v>1.9487297319995673</c:v>
                </c:pt>
                <c:pt idx="1">
                  <c:v>1.8554126252219207</c:v>
                </c:pt>
                <c:pt idx="2">
                  <c:v>1.7670020263119017</c:v>
                </c:pt>
                <c:pt idx="3">
                  <c:v>1.6794091787131542</c:v>
                </c:pt>
                <c:pt idx="4">
                  <c:v>1.5890593409792635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E-A951-4896-8906-C0530B6DEC8A}"/>
            </c:ext>
          </c:extLst>
        </c:ser>
        <c:ser>
          <c:idx val="5"/>
          <c:order val="5"/>
          <c:tx>
            <c:strRef>
              <c:f>Sync回路回帰分析!$AG$59</c:f>
              <c:strCache>
                <c:ptCount val="1"/>
                <c:pt idx="0">
                  <c:v>300N4M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Sync回路回帰分析!$AK$59:$AK$63</c:f>
              <c:numCache>
                <c:formatCode>#,##0</c:formatCode>
                <c:ptCount val="5"/>
                <c:pt idx="0">
                  <c:v>30884</c:v>
                </c:pt>
                <c:pt idx="1">
                  <c:v>22896</c:v>
                </c:pt>
                <c:pt idx="2">
                  <c:v>15328</c:v>
                </c:pt>
                <c:pt idx="3">
                  <c:v>7830</c:v>
                </c:pt>
                <c:pt idx="4" formatCode="General">
                  <c:v>96</c:v>
                </c:pt>
              </c:numCache>
              <c:extLst xmlns:c15="http://schemas.microsoft.com/office/drawing/2012/chart"/>
            </c:numRef>
          </c:xVal>
          <c:yVal>
            <c:numRef>
              <c:f>Sync回路回帰分析!$AH$59:$AH$63</c:f>
              <c:numCache>
                <c:formatCode>General</c:formatCode>
                <c:ptCount val="5"/>
                <c:pt idx="0">
                  <c:v>2.2822232803866633</c:v>
                </c:pt>
                <c:pt idx="1">
                  <c:v>2.1889061736090172</c:v>
                </c:pt>
                <c:pt idx="2">
                  <c:v>2.1004955746989982</c:v>
                </c:pt>
                <c:pt idx="3">
                  <c:v>2.0129027271002506</c:v>
                </c:pt>
                <c:pt idx="4">
                  <c:v>1.9225528893663597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F-A951-4896-8906-C0530B6DE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385456"/>
        <c:axId val="412589088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Sync回路回帰分析!$AO$45</c15:sqref>
                        </c15:formulaRef>
                      </c:ext>
                    </c:extLst>
                    <c:strCache>
                      <c:ptCount val="1"/>
                      <c:pt idx="0">
                        <c:v>実測値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4.1016849511453519E-2"/>
                        <c:y val="-3.2751456915343292E-2"/>
                      </c:manualLayout>
                    </c:layout>
                    <c:tx>
                      <c:rich>
                        <a:bodyPr/>
                        <a:lstStyle/>
                        <a:p>
                          <a:fld id="{DB600300-20D5-420E-91E6-325F2B2C450D}" type="CELLRANGE">
                            <a:rPr lang="en-US" altLang="ja-JP"/>
                            <a:pPr/>
                            <a:t>[CELLRANGE]</a:t>
                          </a:fld>
                          <a:endParaRPr lang="ja-JP" altLang="en-US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7-A951-4896-8906-C0530B6DEC8A}"/>
                      </c:ext>
                    </c:extLst>
                  </c:dLbl>
                  <c:dLbl>
                    <c:idx val="1"/>
                    <c:layout>
                      <c:manualLayout>
                        <c:x val="-4.5209721167431931E-2"/>
                        <c:y val="-2.1452021887094622E-2"/>
                      </c:manualLayout>
                    </c:layout>
                    <c:tx>
                      <c:rich>
                        <a:bodyPr/>
                        <a:lstStyle/>
                        <a:p>
                          <a:fld id="{80806440-1348-421B-8438-4B59C1CD7B33}" type="CELLRANGE">
                            <a:rPr lang="en-US" altLang="ja-JP"/>
                            <a:pPr/>
                            <a:t>[CELLRANGE]</a:t>
                          </a:fld>
                          <a:endParaRPr lang="ja-JP" altLang="en-US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8-A951-4896-8906-C0530B6DEC8A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2867A92B-8135-425F-8D7A-5D97E8C0C63F}" type="CELLRANGE">
                            <a:rPr lang="ja-JP" altLang="en-US"/>
                            <a:pPr/>
                            <a:t>[CELLRANGE]</a:t>
                          </a:fld>
                          <a:endParaRPr lang="ja-JP" altLang="en-US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9-A951-4896-8906-C0530B6DEC8A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fld id="{9AF650E3-C3F2-4B1F-8970-BB8A5C8A6B54}" type="CELLRANGE">
                            <a:rPr lang="ja-JP" altLang="en-US"/>
                            <a:pPr/>
                            <a:t>[CELLRANGE]</a:t>
                          </a:fld>
                          <a:endParaRPr lang="ja-JP" altLang="en-US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A-A951-4896-8906-C0530B6DEC8A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fld id="{02441AB7-B9E0-4448-BAB1-BF4D64F15D4D}" type="CELLRANGE">
                            <a:rPr lang="ja-JP" altLang="en-US"/>
                            <a:pPr/>
                            <a:t>[CELLRANGE]</a:t>
                          </a:fld>
                          <a:endParaRPr lang="ja-JP" altLang="en-US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B-A951-4896-8906-C0530B6DEC8A}"/>
                      </c:ext>
                    </c:extLst>
                  </c:dLbl>
                  <c:dLbl>
                    <c:idx val="5"/>
                    <c:layout>
                      <c:manualLayout>
                        <c:x val="-7.1373240300737897E-2"/>
                        <c:y val="3.5045153254148233E-2"/>
                      </c:manualLayout>
                    </c:layout>
                    <c:tx>
                      <c:rich>
                        <a:bodyPr/>
                        <a:lstStyle/>
                        <a:p>
                          <a:fld id="{49BD5DDA-A3FD-4340-B5E0-68DA6FF473FA}" type="CELLRANGE">
                            <a:rPr lang="en-US" altLang="ja-JP"/>
                            <a:pPr/>
                            <a:t>[CELLRANGE]</a:t>
                          </a:fld>
                          <a:endParaRPr lang="ja-JP" altLang="en-US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C-A951-4896-8906-C0530B6DEC8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t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Sync回路回帰分析!$AS$47:$AS$52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28734</c:v>
                      </c:pt>
                      <c:pt idx="1">
                        <c:v>25574</c:v>
                      </c:pt>
                      <c:pt idx="2">
                        <c:v>31691</c:v>
                      </c:pt>
                      <c:pt idx="3">
                        <c:v>22871</c:v>
                      </c:pt>
                      <c:pt idx="4">
                        <c:v>16895</c:v>
                      </c:pt>
                      <c:pt idx="5">
                        <c:v>11467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Sync回路回帰分析!$AO$47:$AO$52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1.9193709677419377</c:v>
                      </c:pt>
                      <c:pt idx="1">
                        <c:v>1.8591451612903223</c:v>
                      </c:pt>
                      <c:pt idx="2">
                        <c:v>1.9903870967741939</c:v>
                      </c:pt>
                      <c:pt idx="3">
                        <c:v>1.7957741935483891</c:v>
                      </c:pt>
                      <c:pt idx="4">
                        <c:v>1.6870967741935479</c:v>
                      </c:pt>
                      <c:pt idx="5">
                        <c:v>1.6117741935483867</c:v>
                      </c:pt>
                    </c:numCache>
                  </c:numRef>
                </c:yVal>
                <c:smooth val="0"/>
                <c:extLst>
                  <c:ext uri="{02D57815-91ED-43cb-92C2-25804820EDAC}">
                    <c15:datalabelsRange>
                      <c15:f>Sync回路回帰分析!$AN$47:$AN$52</c15:f>
                      <c15:dlblRangeCache>
                        <c:ptCount val="6"/>
                        <c:pt idx="0">
                          <c:v>62.5MHz400N3M</c:v>
                        </c:pt>
                        <c:pt idx="1">
                          <c:v>62.5MHz400N2M</c:v>
                        </c:pt>
                        <c:pt idx="2">
                          <c:v>62.5MHz200N8M</c:v>
                        </c:pt>
                        <c:pt idx="3">
                          <c:v>62.5MHz200N4M</c:v>
                        </c:pt>
                        <c:pt idx="4">
                          <c:v>62.5MHz50N16M</c:v>
                        </c:pt>
                        <c:pt idx="5">
                          <c:v>62.5MHz50N8M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1D-A951-4896-8906-C0530B6DEC8A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Sync回路回帰分析!$AP$45</c15:sqref>
                        </c15:formulaRef>
                      </c:ext>
                    </c:extLst>
                    <c:strCache>
                      <c:ptCount val="1"/>
                      <c:pt idx="0">
                        <c:v>Y（電力[W]）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3.9619225626127352E-2"/>
                        <c:y val="-3.5011343920993011E-2"/>
                      </c:manualLayout>
                    </c:layout>
                    <c:tx>
                      <c:rich>
                        <a:bodyPr/>
                        <a:lstStyle/>
                        <a:p>
                          <a:fld id="{AE1C0C93-351C-4C9F-97D4-21DC1F28446E}" type="CELLRANGE">
                            <a:rPr lang="en-US" altLang="ja-JP"/>
                            <a:pPr/>
                            <a:t>[CELLRANGE]</a:t>
                          </a:fld>
                          <a:endParaRPr lang="ja-JP" altLang="en-US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E-A951-4896-8906-C0530B6DEC8A}"/>
                      </c:ext>
                    </c:extLst>
                  </c:dLbl>
                  <c:dLbl>
                    <c:idx val="1"/>
                    <c:layout>
                      <c:manualLayout>
                        <c:x val="-4.5209721167431931E-2"/>
                        <c:y val="-2.1452021887094705E-2"/>
                      </c:manualLayout>
                    </c:layout>
                    <c:tx>
                      <c:rich>
                        <a:bodyPr/>
                        <a:lstStyle/>
                        <a:p>
                          <a:fld id="{D2AE756D-BD99-4473-B8F9-18930666672C}" type="CELLRANGE">
                            <a:rPr lang="en-US" altLang="ja-JP"/>
                            <a:pPr/>
                            <a:t>[CELLRANGE]</a:t>
                          </a:fld>
                          <a:endParaRPr lang="ja-JP" altLang="en-US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F-A951-4896-8906-C0530B6DEC8A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58BF32F3-3468-4662-9543-EFEFFECC9E49}" type="CELLRANGE">
                            <a:rPr lang="ja-JP" altLang="en-US"/>
                            <a:pPr/>
                            <a:t>[CELLRANGE]</a:t>
                          </a:fld>
                          <a:endParaRPr lang="ja-JP" altLang="en-US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0-A951-4896-8906-C0530B6DEC8A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fld id="{9177A0B4-71E2-42DE-9062-05F11A2FC269}" type="CELLRANGE">
                            <a:rPr lang="ja-JP" altLang="en-US"/>
                            <a:pPr/>
                            <a:t>[CELLRANGE]</a:t>
                          </a:fld>
                          <a:endParaRPr lang="ja-JP" altLang="en-US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1-A951-4896-8906-C0530B6DEC8A}"/>
                      </c:ext>
                    </c:extLst>
                  </c:dLbl>
                  <c:dLbl>
                    <c:idx val="4"/>
                    <c:layout>
                      <c:manualLayout>
                        <c:x val="8.769814757609649E-4"/>
                        <c:y val="3.4067351750523538E-3"/>
                      </c:manualLayout>
                    </c:layout>
                    <c:tx>
                      <c:rich>
                        <a:bodyPr/>
                        <a:lstStyle/>
                        <a:p>
                          <a:fld id="{197BE55E-B659-461E-83D2-414CD8634B2A}" type="CELLRANGE">
                            <a:rPr lang="en-US" altLang="ja-JP"/>
                            <a:pPr/>
                            <a:t>[CELLRANGE]</a:t>
                          </a:fld>
                          <a:endParaRPr lang="ja-JP" altLang="en-US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2-A951-4896-8906-C0530B6DEC8A}"/>
                      </c:ext>
                    </c:extLst>
                  </c:dLbl>
                  <c:dLbl>
                    <c:idx val="5"/>
                    <c:layout>
                      <c:manualLayout>
                        <c:x val="-8.6747103039325771E-2"/>
                        <c:y val="1.9225944214600294E-2"/>
                      </c:manualLayout>
                    </c:layout>
                    <c:tx>
                      <c:rich>
                        <a:bodyPr/>
                        <a:lstStyle/>
                        <a:p>
                          <a:fld id="{4ABB711F-5639-4DC3-9C89-B24C38C8A9AC}" type="CELLRANGE">
                            <a:rPr lang="en-US" altLang="ja-JP"/>
                            <a:pPr/>
                            <a:t>[CELLRANGE]</a:t>
                          </a:fld>
                          <a:endParaRPr lang="ja-JP" altLang="en-US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3-A951-4896-8906-C0530B6DEC8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t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Sync回路回帰分析!$AS$47:$AS$52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28734</c:v>
                      </c:pt>
                      <c:pt idx="1">
                        <c:v>25574</c:v>
                      </c:pt>
                      <c:pt idx="2">
                        <c:v>31691</c:v>
                      </c:pt>
                      <c:pt idx="3">
                        <c:v>22871</c:v>
                      </c:pt>
                      <c:pt idx="4">
                        <c:v>16895</c:v>
                      </c:pt>
                      <c:pt idx="5">
                        <c:v>11467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Sync回路回帰分析!$AP$47:$AP$52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1.9617510911172826</c:v>
                      </c:pt>
                      <c:pt idx="1">
                        <c:v>1.9248354604941778</c:v>
                      </c:pt>
                      <c:pt idx="2">
                        <c:v>1.9200192298670331</c:v>
                      </c:pt>
                      <c:pt idx="3">
                        <c:v>1.8169825646468474</c:v>
                      </c:pt>
                      <c:pt idx="4">
                        <c:v>1.6899629571844552</c:v>
                      </c:pt>
                      <c:pt idx="5">
                        <c:v>1.6265521840761594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Sync回路回帰分析!$AN$47:$AN$52</c15:f>
                      <c15:dlblRangeCache>
                        <c:ptCount val="6"/>
                        <c:pt idx="0">
                          <c:v>62.5MHz400N3M</c:v>
                        </c:pt>
                        <c:pt idx="1">
                          <c:v>62.5MHz400N2M</c:v>
                        </c:pt>
                        <c:pt idx="2">
                          <c:v>62.5MHz200N8M</c:v>
                        </c:pt>
                        <c:pt idx="3">
                          <c:v>62.5MHz200N4M</c:v>
                        </c:pt>
                        <c:pt idx="4">
                          <c:v>62.5MHz50N16M</c:v>
                        </c:pt>
                        <c:pt idx="5">
                          <c:v>62.5MHz50N8M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24-A951-4896-8906-C0530B6DEC8A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Sync回路回帰分析!$AO$45</c15:sqref>
                        </c15:formulaRef>
                      </c:ext>
                    </c:extLst>
                    <c:strCache>
                      <c:ptCount val="1"/>
                      <c:pt idx="0">
                        <c:v>実測値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65DC74B3-B41B-46A8-B6CD-AFD9E13DF8DB}" type="CELLRANGE">
                            <a:rPr lang="en-US" altLang="ja-JP"/>
                            <a:pPr/>
                            <a:t>[CELLRANGE]</a:t>
                          </a:fld>
                          <a:endParaRPr lang="ja-JP" altLang="en-US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5-A951-4896-8906-C0530B6DEC8A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7DA4BDE4-0371-4B0A-9F56-D9F886C7CB64}" type="CELLRANGE">
                            <a:rPr lang="ja-JP" altLang="en-US"/>
                            <a:pPr/>
                            <a:t>[CELLRANGE]</a:t>
                          </a:fld>
                          <a:endParaRPr lang="ja-JP" altLang="en-US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6-A951-4896-8906-C0530B6DEC8A}"/>
                      </c:ext>
                    </c:extLst>
                  </c:dLbl>
                  <c:dLbl>
                    <c:idx val="2"/>
                    <c:layout>
                      <c:manualLayout>
                        <c:x val="-1.6946464732392917E-3"/>
                        <c:y val="1.1468481694025534E-3"/>
                      </c:manualLayout>
                    </c:layout>
                    <c:tx>
                      <c:rich>
                        <a:bodyPr/>
                        <a:lstStyle/>
                        <a:p>
                          <a:fld id="{BD07E502-0179-427A-A41C-0F9E09F6FF45}" type="CELLRANGE">
                            <a:rPr lang="en-US" altLang="ja-JP"/>
                            <a:pPr/>
                            <a:t>[CELLRANGE]</a:t>
                          </a:fld>
                          <a:endParaRPr lang="ja-JP" altLang="en-US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7-A951-4896-8906-C0530B6DEC8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t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Sync回路回帰分析!$AS$53:$AS$55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28734</c:v>
                      </c:pt>
                      <c:pt idx="1">
                        <c:v>25574</c:v>
                      </c:pt>
                      <c:pt idx="2">
                        <c:v>22871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Sync回路回帰分析!$AO$53:$AO$55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2.3798387096774194</c:v>
                      </c:pt>
                      <c:pt idx="1">
                        <c:v>2.2529516129032259</c:v>
                      </c:pt>
                      <c:pt idx="2">
                        <c:v>2.1136129032258051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Sync回路回帰分析!$AN$53:$AN$55</c15:f>
                      <c15:dlblRangeCache>
                        <c:ptCount val="3"/>
                        <c:pt idx="0">
                          <c:v>125MHz400N3M</c:v>
                        </c:pt>
                        <c:pt idx="1">
                          <c:v>125MHz400N2M</c:v>
                        </c:pt>
                        <c:pt idx="2">
                          <c:v>125MHz400N4M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28-A951-4896-8906-C0530B6DEC8A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Sync回路回帰分析!$AP$45</c15:sqref>
                        </c15:formulaRef>
                      </c:ext>
                    </c:extLst>
                    <c:strCache>
                      <c:ptCount val="1"/>
                      <c:pt idx="0">
                        <c:v>Y（電力[W]）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D6CE2CCC-211A-4A08-8E3A-ED7CCDEE6870}" type="CELLRANGE">
                            <a:rPr lang="en-US" altLang="ja-JP"/>
                            <a:pPr/>
                            <a:t>[CELLRANGE]</a:t>
                          </a:fld>
                          <a:endParaRPr lang="ja-JP" altLang="en-US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9-A951-4896-8906-C0530B6DEC8A}"/>
                      </c:ext>
                    </c:extLst>
                  </c:dLbl>
                  <c:dLbl>
                    <c:idx val="1"/>
                    <c:layout>
                      <c:manualLayout>
                        <c:x val="-3.4063615657393305E-2"/>
                        <c:y val="-4.8570665954891276E-2"/>
                      </c:manualLayout>
                    </c:layout>
                    <c:tx>
                      <c:rich>
                        <a:bodyPr/>
                        <a:lstStyle/>
                        <a:p>
                          <a:fld id="{8A9F10AA-765B-49CC-ADD6-FA6E3B16EF44}" type="CELLRANGE">
                            <a:rPr lang="en-US" altLang="ja-JP"/>
                            <a:pPr/>
                            <a:t>[CELLRANGE]</a:t>
                          </a:fld>
                          <a:endParaRPr lang="ja-JP" altLang="en-US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A-A951-4896-8906-C0530B6DEC8A}"/>
                      </c:ext>
                    </c:extLst>
                  </c:dLbl>
                  <c:dLbl>
                    <c:idx val="2"/>
                    <c:layout>
                      <c:manualLayout>
                        <c:x val="-1.4273261441174828E-2"/>
                        <c:y val="-1.6932247875795229E-2"/>
                      </c:manualLayout>
                    </c:layout>
                    <c:tx>
                      <c:rich>
                        <a:bodyPr/>
                        <a:lstStyle/>
                        <a:p>
                          <a:fld id="{83721E76-03E7-456E-8126-5650EB15A109}" type="CELLRANGE">
                            <a:rPr lang="en-US" altLang="ja-JP"/>
                            <a:pPr/>
                            <a:t>[CELLRANGE]</a:t>
                          </a:fld>
                          <a:endParaRPr lang="ja-JP" altLang="en-US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B-A951-4896-8906-C0530B6DEC8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t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Sync回路回帰分析!$AS$53:$AS$55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28734</c:v>
                      </c:pt>
                      <c:pt idx="1">
                        <c:v>25574</c:v>
                      </c:pt>
                      <c:pt idx="2">
                        <c:v>22871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Sync回路回帰分析!$AP$53:$AP$55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2.2952446395043795</c:v>
                      </c:pt>
                      <c:pt idx="1">
                        <c:v>2.2583290088812742</c:v>
                      </c:pt>
                      <c:pt idx="2">
                        <c:v>2.1504761130339438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Sync回路回帰分析!$AN$53:$AN$55</c15:f>
                      <c15:dlblRangeCache>
                        <c:ptCount val="3"/>
                        <c:pt idx="0">
                          <c:v>125MHz400N3M</c:v>
                        </c:pt>
                        <c:pt idx="1">
                          <c:v>125MHz400N2M</c:v>
                        </c:pt>
                        <c:pt idx="2">
                          <c:v>125MHz400N4M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2C-A951-4896-8906-C0530B6DEC8A}"/>
                  </c:ext>
                </c:extLst>
              </c15:ser>
            </c15:filteredScatterSeries>
          </c:ext>
        </c:extLst>
      </c:scatterChart>
      <c:valAx>
        <c:axId val="42738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LUT</a:t>
                </a:r>
                <a:r>
                  <a:rPr lang="ja-JP" altLang="en-US"/>
                  <a:t>数</a:t>
                </a:r>
                <a:endParaRPr lang="en-US" alt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2589088"/>
        <c:crosses val="autoZero"/>
        <c:crossBetween val="midCat"/>
      </c:valAx>
      <c:valAx>
        <c:axId val="412589088"/>
        <c:scaling>
          <c:orientation val="minMax"/>
          <c:min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電力</a:t>
                </a:r>
                <a:r>
                  <a:rPr lang="en-US" altLang="ja-JP"/>
                  <a:t>[W]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385456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665031434692774E-2"/>
          <c:y val="4.1279133073198956E-2"/>
          <c:w val="0.90655089918289167"/>
          <c:h val="0.91177032225351562"/>
        </c:manualLayout>
      </c:layout>
      <c:scatterChart>
        <c:scatterStyle val="lineMarker"/>
        <c:varyColors val="0"/>
        <c:ser>
          <c:idx val="0"/>
          <c:order val="0"/>
          <c:tx>
            <c:strRef>
              <c:f>Sync回路回帰分析!$BP$47</c:f>
              <c:strCache>
                <c:ptCount val="1"/>
                <c:pt idx="0">
                  <c:v>実装回路動作時電力100N62.5MHz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Sync回路回帰分析!$BS$48:$BS$54</c:f>
              <c:numCache>
                <c:formatCode>#,##0</c:formatCode>
                <c:ptCount val="7"/>
                <c:pt idx="0">
                  <c:v>30226</c:v>
                </c:pt>
                <c:pt idx="1">
                  <c:v>26451</c:v>
                </c:pt>
                <c:pt idx="2">
                  <c:v>22184</c:v>
                </c:pt>
                <c:pt idx="3">
                  <c:v>12566</c:v>
                </c:pt>
                <c:pt idx="4">
                  <c:v>6432</c:v>
                </c:pt>
                <c:pt idx="5">
                  <c:v>3255</c:v>
                </c:pt>
                <c:pt idx="6">
                  <c:v>96</c:v>
                </c:pt>
              </c:numCache>
            </c:numRef>
          </c:xVal>
          <c:yVal>
            <c:numRef>
              <c:f>Sync回路回帰分析!$BP$48:$BP$54</c:f>
              <c:numCache>
                <c:formatCode>General</c:formatCode>
                <c:ptCount val="7"/>
                <c:pt idx="0">
                  <c:v>0.38532258064516145</c:v>
                </c:pt>
                <c:pt idx="1">
                  <c:v>0.30803225806451562</c:v>
                </c:pt>
                <c:pt idx="2">
                  <c:v>0.21762903225806363</c:v>
                </c:pt>
                <c:pt idx="3">
                  <c:v>0.13166129032258067</c:v>
                </c:pt>
                <c:pt idx="4">
                  <c:v>9.0467741935482016E-2</c:v>
                </c:pt>
                <c:pt idx="5">
                  <c:v>5.1629032258064811E-2</c:v>
                </c:pt>
                <c:pt idx="6">
                  <c:v>4.4435483870969072E-2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C13-40C6-AEF3-30CE33785DC3}"/>
            </c:ext>
          </c:extLst>
        </c:ser>
        <c:ser>
          <c:idx val="1"/>
          <c:order val="1"/>
          <c:tx>
            <c:strRef>
              <c:f>Sync回路回帰分析!$BK$55</c:f>
              <c:strCache>
                <c:ptCount val="1"/>
                <c:pt idx="0">
                  <c:v>実装回路動作時電力300N62.5MHz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Sync回路回帰分析!$BS$55:$BS$59</c:f>
              <c:numCache>
                <c:formatCode>#,##0</c:formatCode>
                <c:ptCount val="5"/>
                <c:pt idx="0">
                  <c:v>30884</c:v>
                </c:pt>
                <c:pt idx="1">
                  <c:v>22896</c:v>
                </c:pt>
                <c:pt idx="2">
                  <c:v>15328</c:v>
                </c:pt>
                <c:pt idx="3">
                  <c:v>7830</c:v>
                </c:pt>
                <c:pt idx="4" formatCode="General">
                  <c:v>96</c:v>
                </c:pt>
              </c:numCache>
            </c:numRef>
          </c:xVal>
          <c:yVal>
            <c:numRef>
              <c:f>Sync回路回帰分析!$BP$55:$BP$59</c:f>
              <c:numCache>
                <c:formatCode>General</c:formatCode>
                <c:ptCount val="5"/>
                <c:pt idx="0">
                  <c:v>0.35011290322580546</c:v>
                </c:pt>
                <c:pt idx="1">
                  <c:v>0.31045322580645074</c:v>
                </c:pt>
                <c:pt idx="2">
                  <c:v>0.23198387096774442</c:v>
                </c:pt>
                <c:pt idx="3">
                  <c:v>0.16543548387096774</c:v>
                </c:pt>
                <c:pt idx="4">
                  <c:v>9.5887096774192715E-2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C13-40C6-AEF3-30CE33785DC3}"/>
            </c:ext>
          </c:extLst>
        </c:ser>
        <c:ser>
          <c:idx val="2"/>
          <c:order val="2"/>
          <c:tx>
            <c:strRef>
              <c:f>Sync回路回帰分析!$BK$60</c:f>
              <c:strCache>
                <c:ptCount val="1"/>
                <c:pt idx="0">
                  <c:v>実装回路動作時電力300N125MHz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Sync回路回帰分析!$BS$60:$BS$64</c:f>
              <c:numCache>
                <c:formatCode>#,##0</c:formatCode>
                <c:ptCount val="5"/>
                <c:pt idx="0" formatCode="General">
                  <c:v>96</c:v>
                </c:pt>
                <c:pt idx="1">
                  <c:v>30884</c:v>
                </c:pt>
                <c:pt idx="2">
                  <c:v>22896</c:v>
                </c:pt>
                <c:pt idx="3">
                  <c:v>15328</c:v>
                </c:pt>
                <c:pt idx="4">
                  <c:v>7830</c:v>
                </c:pt>
              </c:numCache>
            </c:numRef>
          </c:xVal>
          <c:yVal>
            <c:numRef>
              <c:f>Sync回路回帰分析!$BP$60:$BP$64</c:f>
              <c:numCache>
                <c:formatCode>General</c:formatCode>
                <c:ptCount val="5"/>
                <c:pt idx="0">
                  <c:v>0.18022580645161446</c:v>
                </c:pt>
                <c:pt idx="1">
                  <c:v>0.70308064516129032</c:v>
                </c:pt>
                <c:pt idx="2">
                  <c:v>0.60298387096774175</c:v>
                </c:pt>
                <c:pt idx="3">
                  <c:v>0.42246774193548409</c:v>
                </c:pt>
                <c:pt idx="4">
                  <c:v>0.39845161290322539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C13-40C6-AEF3-30CE33785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624319"/>
        <c:axId val="246785519"/>
      </c:scatterChart>
      <c:valAx>
        <c:axId val="49262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46785519"/>
        <c:crosses val="autoZero"/>
        <c:crossBetween val="midCat"/>
      </c:valAx>
      <c:valAx>
        <c:axId val="24678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2624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39374453193350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Async回路回帰分析_グラフ出力!$C$12</c:f>
              <c:strCache>
                <c:ptCount val="1"/>
                <c:pt idx="0">
                  <c:v>非同期</c:v>
                </c:pt>
              </c:strCache>
            </c:strRef>
          </c:tx>
          <c:spPr>
            <a:ln w="254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Async回路回帰分析_グラフ出力!$E$4:$E$10</c:f>
              <c:numCache>
                <c:formatCode>General</c:formatCode>
                <c:ptCount val="7"/>
                <c:pt idx="0">
                  <c:v>31235</c:v>
                </c:pt>
                <c:pt idx="1">
                  <c:v>28508</c:v>
                </c:pt>
                <c:pt idx="2">
                  <c:v>25505</c:v>
                </c:pt>
                <c:pt idx="3">
                  <c:v>21573</c:v>
                </c:pt>
                <c:pt idx="4">
                  <c:v>17266</c:v>
                </c:pt>
                <c:pt idx="5">
                  <c:v>12311</c:v>
                </c:pt>
                <c:pt idx="6">
                  <c:v>6092</c:v>
                </c:pt>
              </c:numCache>
            </c:numRef>
          </c:xVal>
          <c:yVal>
            <c:numRef>
              <c:f>Async回路回帰分析_グラフ出力!$C$4:$C$10</c:f>
              <c:numCache>
                <c:formatCode>General</c:formatCode>
                <c:ptCount val="7"/>
                <c:pt idx="0">
                  <c:v>1.6302580645161291</c:v>
                </c:pt>
                <c:pt idx="1">
                  <c:v>1.6255322580645162</c:v>
                </c:pt>
                <c:pt idx="2">
                  <c:v>1.6082903225806453</c:v>
                </c:pt>
                <c:pt idx="3">
                  <c:v>1.5871451612903225</c:v>
                </c:pt>
                <c:pt idx="4">
                  <c:v>1.5812580645161298</c:v>
                </c:pt>
                <c:pt idx="5">
                  <c:v>1.5669999999999995</c:v>
                </c:pt>
                <c:pt idx="6">
                  <c:v>1.5403387096774197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D66-4702-99CB-4C2E95BDB54A}"/>
            </c:ext>
          </c:extLst>
        </c:ser>
        <c:ser>
          <c:idx val="0"/>
          <c:order val="1"/>
          <c:tx>
            <c:strRef>
              <c:f>Async回路回帰分析_グラフ出力!$B$12</c:f>
              <c:strCache>
                <c:ptCount val="1"/>
                <c:pt idx="0">
                  <c:v>同期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Sync回路回帰分析!$AI$90:$AI$96</c:f>
              <c:numCache>
                <c:formatCode>#,##0</c:formatCode>
                <c:ptCount val="7"/>
                <c:pt idx="0">
                  <c:v>30226</c:v>
                </c:pt>
                <c:pt idx="1">
                  <c:v>26451</c:v>
                </c:pt>
                <c:pt idx="2">
                  <c:v>22184</c:v>
                </c:pt>
                <c:pt idx="3">
                  <c:v>12566</c:v>
                </c:pt>
                <c:pt idx="4">
                  <c:v>6432</c:v>
                </c:pt>
                <c:pt idx="5">
                  <c:v>3255</c:v>
                </c:pt>
                <c:pt idx="6">
                  <c:v>96</c:v>
                </c:pt>
              </c:numCache>
            </c:numRef>
          </c:xVal>
          <c:yVal>
            <c:numRef>
              <c:f>Sync回路回帰分析!$AG$90:$AG$96</c:f>
              <c:numCache>
                <c:formatCode>General</c:formatCode>
                <c:ptCount val="7"/>
                <c:pt idx="0">
                  <c:v>1.8938225806451614</c:v>
                </c:pt>
                <c:pt idx="1">
                  <c:v>1.8137096774193544</c:v>
                </c:pt>
                <c:pt idx="2">
                  <c:v>1.7232741935483864</c:v>
                </c:pt>
                <c:pt idx="3">
                  <c:v>1.6362419354838709</c:v>
                </c:pt>
                <c:pt idx="4">
                  <c:v>1.5922096774193537</c:v>
                </c:pt>
                <c:pt idx="5">
                  <c:v>1.5545</c:v>
                </c:pt>
                <c:pt idx="6">
                  <c:v>1.5473064516129043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D66-4702-99CB-4C2E95BDB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661951"/>
        <c:axId val="203427083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2"/>
                <c:tx>
                  <c:strRef>
                    <c:extLst>
                      <c:ext uri="{02D57815-91ED-43cb-92C2-25804820EDAC}">
                        <c15:formulaRef>
                          <c15:sqref>Async回路回帰分析_グラフ出力!$H$3</c15:sqref>
                        </c15:formulaRef>
                      </c:ext>
                    </c:extLst>
                    <c:strCache>
                      <c:ptCount val="1"/>
                      <c:pt idx="0">
                        <c:v>特殊LUT※</c:v>
                      </c:pt>
                    </c:strCache>
                  </c:strRef>
                </c:tx>
                <c:spPr>
                  <a:ln w="38100">
                    <a:noFill/>
                  </a:ln>
                </c:spPr>
                <c:marker>
                  <c:symbol val="square"/>
                  <c:size val="5"/>
                </c:marker>
                <c:trendline>
                  <c:trendlineType val="linear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Async回路回帰分析_グラフ出力!$H$4:$H$10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25188</c:v>
                      </c:pt>
                      <c:pt idx="1">
                        <c:v>22461</c:v>
                      </c:pt>
                      <c:pt idx="2">
                        <c:v>19458</c:v>
                      </c:pt>
                      <c:pt idx="3">
                        <c:v>15526</c:v>
                      </c:pt>
                      <c:pt idx="4">
                        <c:v>11219</c:v>
                      </c:pt>
                      <c:pt idx="5">
                        <c:v>6264</c:v>
                      </c:pt>
                      <c:pt idx="6">
                        <c:v>45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Async回路回帰分析_グラフ出力!$C$4:$C$10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1.6302580645161291</c:v>
                      </c:pt>
                      <c:pt idx="1">
                        <c:v>1.6255322580645162</c:v>
                      </c:pt>
                      <c:pt idx="2">
                        <c:v>1.6082903225806453</c:v>
                      </c:pt>
                      <c:pt idx="3">
                        <c:v>1.5871451612903225</c:v>
                      </c:pt>
                      <c:pt idx="4">
                        <c:v>1.5812580645161298</c:v>
                      </c:pt>
                      <c:pt idx="5">
                        <c:v>1.5669999999999995</c:v>
                      </c:pt>
                      <c:pt idx="6">
                        <c:v>1.5403387096774197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F-DD66-4702-99CB-4C2E95BDB54A}"/>
                  </c:ext>
                </c:extLst>
              </c15:ser>
            </c15:filteredScatterSeries>
          </c:ext>
        </c:extLst>
      </c:scatterChart>
      <c:valAx>
        <c:axId val="199766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270831"/>
        <c:crosses val="autoZero"/>
        <c:crossBetween val="midCat"/>
      </c:valAx>
      <c:valAx>
        <c:axId val="2034270831"/>
        <c:scaling>
          <c:orientation val="minMax"/>
          <c:min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97661951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テスト用</a:t>
            </a:r>
            <a:r>
              <a:rPr lang="en-US" altLang="ja-JP"/>
              <a:t>STP</a:t>
            </a:r>
            <a:r>
              <a:rPr lang="ja-JP" altLang="en-US"/>
              <a:t>回路実測電力と</a:t>
            </a:r>
            <a:r>
              <a:rPr lang="en-US" altLang="ja-JP"/>
              <a:t>N</a:t>
            </a:r>
            <a:r>
              <a:rPr lang="en-US" altLang="ja-JP" baseline="-25000"/>
              <a:t>LUT</a:t>
            </a:r>
            <a:r>
              <a:rPr lang="ja-JP" altLang="en-US"/>
              <a:t>比較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8.4578318186580126E-2"/>
          <c:y val="0.1585976866872984"/>
          <c:w val="0.85455122253362947"/>
          <c:h val="0.67518809041322081"/>
        </c:manualLayout>
      </c:layout>
      <c:scatterChart>
        <c:scatterStyle val="lineMarker"/>
        <c:varyColors val="0"/>
        <c:ser>
          <c:idx val="0"/>
          <c:order val="0"/>
          <c:tx>
            <c:strRef>
              <c:f>Async回路回帰分析_グラフ出力!$A$70</c:f>
              <c:strCache>
                <c:ptCount val="1"/>
                <c:pt idx="0">
                  <c:v>f:20MHz, Nreg:3334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Async回路回帰分析_グラフ出力!$E$69:$E$75</c:f>
              <c:numCache>
                <c:formatCode>General</c:formatCode>
                <c:ptCount val="7"/>
                <c:pt idx="0">
                  <c:v>31235</c:v>
                </c:pt>
                <c:pt idx="1">
                  <c:v>28508</c:v>
                </c:pt>
                <c:pt idx="2">
                  <c:v>25505</c:v>
                </c:pt>
                <c:pt idx="3">
                  <c:v>21573</c:v>
                </c:pt>
                <c:pt idx="4">
                  <c:v>17266</c:v>
                </c:pt>
                <c:pt idx="5">
                  <c:v>12311</c:v>
                </c:pt>
                <c:pt idx="6">
                  <c:v>6092</c:v>
                </c:pt>
              </c:numCache>
            </c:numRef>
          </c:xVal>
          <c:yVal>
            <c:numRef>
              <c:f>Async回路回帰分析_グラフ出力!$C$69:$C$75</c:f>
              <c:numCache>
                <c:formatCode>0.000</c:formatCode>
                <c:ptCount val="7"/>
                <c:pt idx="0">
                  <c:v>1.6275806451612902</c:v>
                </c:pt>
                <c:pt idx="1">
                  <c:v>1.6200806451612895</c:v>
                </c:pt>
                <c:pt idx="2">
                  <c:v>1.5903225806451604</c:v>
                </c:pt>
                <c:pt idx="3">
                  <c:v>1.5798870967741931</c:v>
                </c:pt>
                <c:pt idx="4">
                  <c:v>1.5660322580645156</c:v>
                </c:pt>
                <c:pt idx="5">
                  <c:v>1.5476612903225815</c:v>
                </c:pt>
                <c:pt idx="6">
                  <c:v>1.520483870967742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35E-49AD-A301-DD2EB7F2B9ED}"/>
            </c:ext>
          </c:extLst>
        </c:ser>
        <c:ser>
          <c:idx val="1"/>
          <c:order val="1"/>
          <c:tx>
            <c:strRef>
              <c:f>Async回路回帰分析_グラフ出力!$A$77</c:f>
              <c:strCache>
                <c:ptCount val="1"/>
                <c:pt idx="0">
                  <c:v>f:20MHz, NReg:3334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Async回路回帰分析_グラフ出力!$E$76:$E$82</c:f>
              <c:numCache>
                <c:formatCode>General</c:formatCode>
                <c:ptCount val="7"/>
                <c:pt idx="0">
                  <c:v>27183</c:v>
                </c:pt>
                <c:pt idx="1">
                  <c:v>25985</c:v>
                </c:pt>
                <c:pt idx="2">
                  <c:v>22190</c:v>
                </c:pt>
                <c:pt idx="3">
                  <c:v>19771</c:v>
                </c:pt>
                <c:pt idx="4">
                  <c:v>15224</c:v>
                </c:pt>
                <c:pt idx="5">
                  <c:v>9003</c:v>
                </c:pt>
                <c:pt idx="6">
                  <c:v>2632</c:v>
                </c:pt>
              </c:numCache>
            </c:numRef>
          </c:xVal>
          <c:yVal>
            <c:numRef>
              <c:f>Async回路回帰分析_グラフ出力!$C$76:$C$82</c:f>
              <c:numCache>
                <c:formatCode>0.000</c:formatCode>
                <c:ptCount val="7"/>
                <c:pt idx="0">
                  <c:v>1.7512741935483882</c:v>
                </c:pt>
                <c:pt idx="1">
                  <c:v>1.7232258064516135</c:v>
                </c:pt>
                <c:pt idx="2">
                  <c:v>1.7004354838709654</c:v>
                </c:pt>
                <c:pt idx="3">
                  <c:v>1.6731935483870966</c:v>
                </c:pt>
                <c:pt idx="4">
                  <c:v>1.6426290322580643</c:v>
                </c:pt>
                <c:pt idx="5">
                  <c:v>1.6214838709677417</c:v>
                </c:pt>
                <c:pt idx="6">
                  <c:v>1.5559677419354854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F0-4BE4-B356-3F72CEDB7BD4}"/>
            </c:ext>
          </c:extLst>
        </c:ser>
        <c:ser>
          <c:idx val="2"/>
          <c:order val="2"/>
          <c:tx>
            <c:strRef>
              <c:f>Async回路回帰分析_グラフ出力!$A$84</c:f>
              <c:strCache>
                <c:ptCount val="1"/>
                <c:pt idx="0">
                  <c:v>f:20MHz, NReg:1734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Async回路回帰分析_グラフ出力!$E$83:$E$89</c:f>
              <c:numCache>
                <c:formatCode>General</c:formatCode>
                <c:ptCount val="7"/>
                <c:pt idx="0">
                  <c:v>15328</c:v>
                </c:pt>
                <c:pt idx="1">
                  <c:v>14371</c:v>
                </c:pt>
                <c:pt idx="2">
                  <c:v>12839</c:v>
                </c:pt>
                <c:pt idx="3">
                  <c:v>10859</c:v>
                </c:pt>
                <c:pt idx="4">
                  <c:v>8722</c:v>
                </c:pt>
                <c:pt idx="5">
                  <c:v>6236</c:v>
                </c:pt>
                <c:pt idx="6">
                  <c:v>3120</c:v>
                </c:pt>
              </c:numCache>
            </c:numRef>
          </c:xVal>
          <c:yVal>
            <c:numRef>
              <c:f>Async回路回帰分析_グラフ出力!$C$83:$C$89</c:f>
              <c:numCache>
                <c:formatCode>0.000</c:formatCode>
                <c:ptCount val="7"/>
                <c:pt idx="0">
                  <c:v>1.5532580645161289</c:v>
                </c:pt>
                <c:pt idx="1">
                  <c:v>1.5451451612903224</c:v>
                </c:pt>
                <c:pt idx="2">
                  <c:v>1.5347096774193549</c:v>
                </c:pt>
                <c:pt idx="3">
                  <c:v>1.5252419354838715</c:v>
                </c:pt>
                <c:pt idx="4">
                  <c:v>1.5172580645161298</c:v>
                </c:pt>
                <c:pt idx="5">
                  <c:v>1.5098225806451615</c:v>
                </c:pt>
                <c:pt idx="6">
                  <c:v>1.4950967741935479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F0-4BE4-B356-3F72CEDB7BD4}"/>
            </c:ext>
          </c:extLst>
        </c:ser>
        <c:ser>
          <c:idx val="3"/>
          <c:order val="3"/>
          <c:tx>
            <c:strRef>
              <c:f>Async回路回帰分析_グラフ出力!$A$91</c:f>
              <c:strCache>
                <c:ptCount val="1"/>
                <c:pt idx="0">
                  <c:v>f:40MHz, NReg:1734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Async回路回帰分析_グラフ出力!$E$90:$E$96</c:f>
              <c:numCache>
                <c:formatCode>General</c:formatCode>
                <c:ptCount val="7"/>
                <c:pt idx="0">
                  <c:v>13603</c:v>
                </c:pt>
                <c:pt idx="1">
                  <c:v>13015</c:v>
                </c:pt>
                <c:pt idx="2">
                  <c:v>11469</c:v>
                </c:pt>
                <c:pt idx="3">
                  <c:v>9879</c:v>
                </c:pt>
                <c:pt idx="4">
                  <c:v>7644</c:v>
                </c:pt>
                <c:pt idx="5">
                  <c:v>4558</c:v>
                </c:pt>
                <c:pt idx="6">
                  <c:v>1382</c:v>
                </c:pt>
              </c:numCache>
            </c:numRef>
          </c:xVal>
          <c:yVal>
            <c:numRef>
              <c:f>Async回路回帰分析_グラフ出力!$C$90:$C$96</c:f>
              <c:numCache>
                <c:formatCode>0.000</c:formatCode>
                <c:ptCount val="7"/>
                <c:pt idx="0">
                  <c:v>1.6199193548387099</c:v>
                </c:pt>
                <c:pt idx="1">
                  <c:v>1.5899677419354832</c:v>
                </c:pt>
                <c:pt idx="2">
                  <c:v>1.5866129032258058</c:v>
                </c:pt>
                <c:pt idx="3">
                  <c:v>1.5768064516129028</c:v>
                </c:pt>
                <c:pt idx="4">
                  <c:v>1.5618870967741938</c:v>
                </c:pt>
                <c:pt idx="5">
                  <c:v>1.5475161290322592</c:v>
                </c:pt>
                <c:pt idx="6">
                  <c:v>1.5145806451612909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F0-4BE4-B356-3F72CEDB7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527167"/>
        <c:axId val="2012176863"/>
      </c:scatterChart>
      <c:valAx>
        <c:axId val="200352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12176863"/>
        <c:crosses val="autoZero"/>
        <c:crossBetween val="midCat"/>
      </c:valAx>
      <c:valAx>
        <c:axId val="201217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POWER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3527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ja-JP"/>
              <a:t>f*(LUT+Reg) </a:t>
            </a:r>
            <a:r>
              <a:rPr lang="ja-JP" altLang="en-US"/>
              <a:t>残差グラフ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Async回路回帰分析_グラフ出力!$G$69:$G$96</c:f>
              <c:numCache>
                <c:formatCode>General</c:formatCode>
                <c:ptCount val="28"/>
                <c:pt idx="0">
                  <c:v>691380</c:v>
                </c:pt>
                <c:pt idx="1">
                  <c:v>636840</c:v>
                </c:pt>
                <c:pt idx="2">
                  <c:v>576780</c:v>
                </c:pt>
                <c:pt idx="3">
                  <c:v>498140</c:v>
                </c:pt>
                <c:pt idx="4">
                  <c:v>412000</c:v>
                </c:pt>
                <c:pt idx="5">
                  <c:v>312900</c:v>
                </c:pt>
                <c:pt idx="6">
                  <c:v>188520</c:v>
                </c:pt>
                <c:pt idx="7">
                  <c:v>1220680</c:v>
                </c:pt>
                <c:pt idx="8">
                  <c:v>1172760</c:v>
                </c:pt>
                <c:pt idx="9">
                  <c:v>1020960</c:v>
                </c:pt>
                <c:pt idx="10">
                  <c:v>924200</c:v>
                </c:pt>
                <c:pt idx="11">
                  <c:v>742320</c:v>
                </c:pt>
                <c:pt idx="12">
                  <c:v>493480</c:v>
                </c:pt>
                <c:pt idx="13">
                  <c:v>238640</c:v>
                </c:pt>
                <c:pt idx="14">
                  <c:v>341240</c:v>
                </c:pt>
                <c:pt idx="15">
                  <c:v>322100</c:v>
                </c:pt>
                <c:pt idx="16">
                  <c:v>291460</c:v>
                </c:pt>
                <c:pt idx="17">
                  <c:v>251860</c:v>
                </c:pt>
                <c:pt idx="18">
                  <c:v>209120</c:v>
                </c:pt>
                <c:pt idx="19">
                  <c:v>159400</c:v>
                </c:pt>
                <c:pt idx="20">
                  <c:v>97080</c:v>
                </c:pt>
                <c:pt idx="21">
                  <c:v>613480</c:v>
                </c:pt>
                <c:pt idx="22">
                  <c:v>589960</c:v>
                </c:pt>
                <c:pt idx="23">
                  <c:v>528120</c:v>
                </c:pt>
                <c:pt idx="24">
                  <c:v>464520</c:v>
                </c:pt>
                <c:pt idx="25">
                  <c:v>375120</c:v>
                </c:pt>
                <c:pt idx="26">
                  <c:v>251680</c:v>
                </c:pt>
                <c:pt idx="27">
                  <c:v>124640</c:v>
                </c:pt>
              </c:numCache>
            </c:numRef>
          </c:xVal>
          <c:yVal>
            <c:numRef>
              <c:f>Async回路回帰分析_グラフ出力!$M$139:$M$166</c:f>
              <c:numCache>
                <c:formatCode>General</c:formatCode>
                <c:ptCount val="28"/>
                <c:pt idx="0">
                  <c:v>-7.8132958570331645E-4</c:v>
                </c:pt>
                <c:pt idx="1">
                  <c:v>3.348158169995008E-3</c:v>
                </c:pt>
                <c:pt idx="2">
                  <c:v>-1.3603396727372097E-2</c:v>
                </c:pt>
                <c:pt idx="3">
                  <c:v>-7.2705836216584441E-3</c:v>
                </c:pt>
                <c:pt idx="4">
                  <c:v>-2.7579108667976637E-3</c:v>
                </c:pt>
                <c:pt idx="5">
                  <c:v>2.0754908238718173E-6</c:v>
                </c:pt>
                <c:pt idx="6">
                  <c:v>-6.5397079738827024E-4</c:v>
                </c:pt>
                <c:pt idx="7">
                  <c:v>1.0050321678338081E-2</c:v>
                </c:pt>
                <c:pt idx="8">
                  <c:v>-7.7801509840198513E-3</c:v>
                </c:pt>
                <c:pt idx="9">
                  <c:v>1.7976276695661486E-3</c:v>
                </c:pt>
                <c:pt idx="10">
                  <c:v>-4.8123086349585176E-3</c:v>
                </c:pt>
                <c:pt idx="11">
                  <c:v>3.4051927095433143E-3</c:v>
                </c:pt>
                <c:pt idx="12">
                  <c:v>3.5319835840345482E-2</c:v>
                </c:pt>
                <c:pt idx="13">
                  <c:v>2.4142882819500056E-2</c:v>
                </c:pt>
                <c:pt idx="14">
                  <c:v>-4.4404879374582151E-4</c:v>
                </c:pt>
                <c:pt idx="15">
                  <c:v>-4.4757566465400966E-3</c:v>
                </c:pt>
                <c:pt idx="16">
                  <c:v>-8.3779162631141268E-3</c:v>
                </c:pt>
                <c:pt idx="17">
                  <c:v>-9.4018057027105417E-3</c:v>
                </c:pt>
                <c:pt idx="18">
                  <c:v>-8.2722863756488074E-3</c:v>
                </c:pt>
                <c:pt idx="19">
                  <c:v>-5.1060443351145235E-3</c:v>
                </c:pt>
                <c:pt idx="20">
                  <c:v>-6.5434445356249427E-3</c:v>
                </c:pt>
                <c:pt idx="21">
                  <c:v>8.1678879055950837E-3</c:v>
                </c:pt>
                <c:pt idx="22">
                  <c:v>-1.6768588363710757E-2</c:v>
                </c:pt>
                <c:pt idx="23">
                  <c:v>-6.9373705495077154E-3</c:v>
                </c:pt>
                <c:pt idx="24">
                  <c:v>-3.1824833053799573E-3</c:v>
                </c:pt>
                <c:pt idx="25">
                  <c:v>9.6079855117126023E-4</c:v>
                </c:pt>
                <c:pt idx="26">
                  <c:v>1.2910768993385835E-2</c:v>
                </c:pt>
                <c:pt idx="27">
                  <c:v>7.0638462607379715E-3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8D-4D14-B68C-F9D3DE9AA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762015"/>
        <c:axId val="1419487775"/>
      </c:scatterChart>
      <c:valAx>
        <c:axId val="1427762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f*(LUT+Reg)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19487775"/>
        <c:crosses val="autoZero"/>
        <c:crossBetween val="midCat"/>
      </c:valAx>
      <c:valAx>
        <c:axId val="14194877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残差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776201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ja-JP"/>
              <a:t>f*(LUT+Reg) </a:t>
            </a:r>
            <a:r>
              <a:rPr lang="ja-JP" altLang="en-US"/>
              <a:t>観測値グラフ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POWER</c:v>
          </c:tx>
          <c:spPr>
            <a:ln w="38100">
              <a:noFill/>
            </a:ln>
          </c:spPr>
          <c:marker>
            <c:symbol val="diamond"/>
            <c:size val="6"/>
          </c:marker>
          <c:xVal>
            <c:numRef>
              <c:f>Async回路回帰分析_グラフ出力!$G$69:$G$96</c:f>
              <c:numCache>
                <c:formatCode>General</c:formatCode>
                <c:ptCount val="28"/>
                <c:pt idx="0">
                  <c:v>691380</c:v>
                </c:pt>
                <c:pt idx="1">
                  <c:v>636840</c:v>
                </c:pt>
                <c:pt idx="2">
                  <c:v>576780</c:v>
                </c:pt>
                <c:pt idx="3">
                  <c:v>498140</c:v>
                </c:pt>
                <c:pt idx="4">
                  <c:v>412000</c:v>
                </c:pt>
                <c:pt idx="5">
                  <c:v>312900</c:v>
                </c:pt>
                <c:pt idx="6">
                  <c:v>188520</c:v>
                </c:pt>
                <c:pt idx="7">
                  <c:v>1220680</c:v>
                </c:pt>
                <c:pt idx="8">
                  <c:v>1172760</c:v>
                </c:pt>
                <c:pt idx="9">
                  <c:v>1020960</c:v>
                </c:pt>
                <c:pt idx="10">
                  <c:v>924200</c:v>
                </c:pt>
                <c:pt idx="11">
                  <c:v>742320</c:v>
                </c:pt>
                <c:pt idx="12">
                  <c:v>493480</c:v>
                </c:pt>
                <c:pt idx="13">
                  <c:v>238640</c:v>
                </c:pt>
                <c:pt idx="14">
                  <c:v>341240</c:v>
                </c:pt>
                <c:pt idx="15">
                  <c:v>322100</c:v>
                </c:pt>
                <c:pt idx="16">
                  <c:v>291460</c:v>
                </c:pt>
                <c:pt idx="17">
                  <c:v>251860</c:v>
                </c:pt>
                <c:pt idx="18">
                  <c:v>209120</c:v>
                </c:pt>
                <c:pt idx="19">
                  <c:v>159400</c:v>
                </c:pt>
                <c:pt idx="20">
                  <c:v>97080</c:v>
                </c:pt>
                <c:pt idx="21">
                  <c:v>613480</c:v>
                </c:pt>
                <c:pt idx="22">
                  <c:v>589960</c:v>
                </c:pt>
                <c:pt idx="23">
                  <c:v>528120</c:v>
                </c:pt>
                <c:pt idx="24">
                  <c:v>464520</c:v>
                </c:pt>
                <c:pt idx="25">
                  <c:v>375120</c:v>
                </c:pt>
                <c:pt idx="26">
                  <c:v>251680</c:v>
                </c:pt>
                <c:pt idx="27">
                  <c:v>124640</c:v>
                </c:pt>
              </c:numCache>
            </c:numRef>
          </c:xVal>
          <c:yVal>
            <c:numRef>
              <c:f>Async回路回帰分析_グラフ出力!$C$69:$C$96</c:f>
              <c:numCache>
                <c:formatCode>0.000</c:formatCode>
                <c:ptCount val="28"/>
                <c:pt idx="0">
                  <c:v>1.6275806451612902</c:v>
                </c:pt>
                <c:pt idx="1">
                  <c:v>1.6200806451612895</c:v>
                </c:pt>
                <c:pt idx="2">
                  <c:v>1.5903225806451604</c:v>
                </c:pt>
                <c:pt idx="3">
                  <c:v>1.5798870967741931</c:v>
                </c:pt>
                <c:pt idx="4">
                  <c:v>1.5660322580645156</c:v>
                </c:pt>
                <c:pt idx="5">
                  <c:v>1.5476612903225815</c:v>
                </c:pt>
                <c:pt idx="6">
                  <c:v>1.520483870967742</c:v>
                </c:pt>
                <c:pt idx="7">
                  <c:v>1.7512741935483882</c:v>
                </c:pt>
                <c:pt idx="8">
                  <c:v>1.7232258064516135</c:v>
                </c:pt>
                <c:pt idx="9">
                  <c:v>1.7004354838709654</c:v>
                </c:pt>
                <c:pt idx="10">
                  <c:v>1.6731935483870966</c:v>
                </c:pt>
                <c:pt idx="11">
                  <c:v>1.6426290322580643</c:v>
                </c:pt>
                <c:pt idx="12">
                  <c:v>1.6214838709677417</c:v>
                </c:pt>
                <c:pt idx="13">
                  <c:v>1.5559677419354854</c:v>
                </c:pt>
                <c:pt idx="14">
                  <c:v>1.5532580645161289</c:v>
                </c:pt>
                <c:pt idx="15">
                  <c:v>1.5451451612903224</c:v>
                </c:pt>
                <c:pt idx="16">
                  <c:v>1.5347096774193549</c:v>
                </c:pt>
                <c:pt idx="17">
                  <c:v>1.5252419354838715</c:v>
                </c:pt>
                <c:pt idx="18">
                  <c:v>1.5172580645161298</c:v>
                </c:pt>
                <c:pt idx="19">
                  <c:v>1.5098225806451615</c:v>
                </c:pt>
                <c:pt idx="20">
                  <c:v>1.4950967741935479</c:v>
                </c:pt>
                <c:pt idx="21">
                  <c:v>1.6199193548387099</c:v>
                </c:pt>
                <c:pt idx="22">
                  <c:v>1.5899677419354832</c:v>
                </c:pt>
                <c:pt idx="23">
                  <c:v>1.5866129032258058</c:v>
                </c:pt>
                <c:pt idx="24">
                  <c:v>1.5768064516129028</c:v>
                </c:pt>
                <c:pt idx="25">
                  <c:v>1.5618870967741938</c:v>
                </c:pt>
                <c:pt idx="26">
                  <c:v>1.5475161290322592</c:v>
                </c:pt>
                <c:pt idx="27">
                  <c:v>1.5145806451612909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6C-4809-9B1F-41950769B39B}"/>
            </c:ext>
          </c:extLst>
        </c:ser>
        <c:ser>
          <c:idx val="1"/>
          <c:order val="1"/>
          <c:tx>
            <c:v>予測値: POWER</c:v>
          </c:tx>
          <c:spPr>
            <a:ln w="38100">
              <a:noFill/>
            </a:ln>
          </c:spPr>
          <c:marker>
            <c:symbol val="square"/>
            <c:size val="5"/>
          </c:marker>
          <c:xVal>
            <c:numRef>
              <c:f>Async回路回帰分析_グラフ出力!$G$69:$G$96</c:f>
              <c:numCache>
                <c:formatCode>General</c:formatCode>
                <c:ptCount val="28"/>
                <c:pt idx="0">
                  <c:v>691380</c:v>
                </c:pt>
                <c:pt idx="1">
                  <c:v>636840</c:v>
                </c:pt>
                <c:pt idx="2">
                  <c:v>576780</c:v>
                </c:pt>
                <c:pt idx="3">
                  <c:v>498140</c:v>
                </c:pt>
                <c:pt idx="4">
                  <c:v>412000</c:v>
                </c:pt>
                <c:pt idx="5">
                  <c:v>312900</c:v>
                </c:pt>
                <c:pt idx="6">
                  <c:v>188520</c:v>
                </c:pt>
                <c:pt idx="7">
                  <c:v>1220680</c:v>
                </c:pt>
                <c:pt idx="8">
                  <c:v>1172760</c:v>
                </c:pt>
                <c:pt idx="9">
                  <c:v>1020960</c:v>
                </c:pt>
                <c:pt idx="10">
                  <c:v>924200</c:v>
                </c:pt>
                <c:pt idx="11">
                  <c:v>742320</c:v>
                </c:pt>
                <c:pt idx="12">
                  <c:v>493480</c:v>
                </c:pt>
                <c:pt idx="13">
                  <c:v>238640</c:v>
                </c:pt>
                <c:pt idx="14">
                  <c:v>341240</c:v>
                </c:pt>
                <c:pt idx="15">
                  <c:v>322100</c:v>
                </c:pt>
                <c:pt idx="16">
                  <c:v>291460</c:v>
                </c:pt>
                <c:pt idx="17">
                  <c:v>251860</c:v>
                </c:pt>
                <c:pt idx="18">
                  <c:v>209120</c:v>
                </c:pt>
                <c:pt idx="19">
                  <c:v>159400</c:v>
                </c:pt>
                <c:pt idx="20">
                  <c:v>97080</c:v>
                </c:pt>
                <c:pt idx="21">
                  <c:v>613480</c:v>
                </c:pt>
                <c:pt idx="22">
                  <c:v>589960</c:v>
                </c:pt>
                <c:pt idx="23">
                  <c:v>528120</c:v>
                </c:pt>
                <c:pt idx="24">
                  <c:v>464520</c:v>
                </c:pt>
                <c:pt idx="25">
                  <c:v>375120</c:v>
                </c:pt>
                <c:pt idx="26">
                  <c:v>251680</c:v>
                </c:pt>
                <c:pt idx="27">
                  <c:v>124640</c:v>
                </c:pt>
              </c:numCache>
            </c:numRef>
          </c:xVal>
          <c:yVal>
            <c:numRef>
              <c:f>Async回路回帰分析_グラフ出力!$L$139:$L$166</c:f>
              <c:numCache>
                <c:formatCode>General</c:formatCode>
                <c:ptCount val="28"/>
                <c:pt idx="0">
                  <c:v>1.6283619747469935</c:v>
                </c:pt>
                <c:pt idx="1">
                  <c:v>1.6167324869912945</c:v>
                </c:pt>
                <c:pt idx="2">
                  <c:v>1.6039259773725325</c:v>
                </c:pt>
                <c:pt idx="3">
                  <c:v>1.5871576803958516</c:v>
                </c:pt>
                <c:pt idx="4">
                  <c:v>1.5687901689313133</c:v>
                </c:pt>
                <c:pt idx="5">
                  <c:v>1.5476592148317576</c:v>
                </c:pt>
                <c:pt idx="6">
                  <c:v>1.5211378417651302</c:v>
                </c:pt>
                <c:pt idx="7">
                  <c:v>1.7412238718700501</c:v>
                </c:pt>
                <c:pt idx="8">
                  <c:v>1.7310059574356333</c:v>
                </c:pt>
                <c:pt idx="9">
                  <c:v>1.6986378562013993</c:v>
                </c:pt>
                <c:pt idx="10">
                  <c:v>1.6780058570220551</c:v>
                </c:pt>
                <c:pt idx="11">
                  <c:v>1.639223839548521</c:v>
                </c:pt>
                <c:pt idx="12">
                  <c:v>1.5861640351273962</c:v>
                </c:pt>
                <c:pt idx="13">
                  <c:v>1.5318248591159853</c:v>
                </c:pt>
                <c:pt idx="14">
                  <c:v>1.5537021133098747</c:v>
                </c:pt>
                <c:pt idx="15">
                  <c:v>1.5496209179368625</c:v>
                </c:pt>
                <c:pt idx="16">
                  <c:v>1.5430875936824691</c:v>
                </c:pt>
                <c:pt idx="17">
                  <c:v>1.5346437411865821</c:v>
                </c:pt>
                <c:pt idx="18">
                  <c:v>1.5255303508917786</c:v>
                </c:pt>
                <c:pt idx="19">
                  <c:v>1.514928624980276</c:v>
                </c:pt>
                <c:pt idx="20">
                  <c:v>1.5016402187291729</c:v>
                </c:pt>
                <c:pt idx="21">
                  <c:v>1.6117514669331148</c:v>
                </c:pt>
                <c:pt idx="22">
                  <c:v>1.6067363302991939</c:v>
                </c:pt>
                <c:pt idx="23">
                  <c:v>1.5935502737753136</c:v>
                </c:pt>
                <c:pt idx="24">
                  <c:v>1.5799889349182827</c:v>
                </c:pt>
                <c:pt idx="25">
                  <c:v>1.5609262982230225</c:v>
                </c:pt>
                <c:pt idx="26">
                  <c:v>1.5346053600388734</c:v>
                </c:pt>
                <c:pt idx="27">
                  <c:v>1.5075167989005529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6C-4809-9B1F-41950769B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770815"/>
        <c:axId val="1419470303"/>
      </c:scatterChart>
      <c:valAx>
        <c:axId val="1427770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f*(LUT+Reg)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19470303"/>
        <c:crosses val="autoZero"/>
        <c:crossBetween val="midCat"/>
      </c:valAx>
      <c:valAx>
        <c:axId val="14194703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POWER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4277708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86069796830952"/>
          <c:y val="6.8158813481648123E-2"/>
          <c:w val="0.83914868280353849"/>
          <c:h val="0.84696646252551766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Async回路回帰分析_グラフ出力!$P$139:$P$166</c:f>
              <c:numCache>
                <c:formatCode>General</c:formatCode>
                <c:ptCount val="28"/>
                <c:pt idx="0">
                  <c:v>1.7857142857142858</c:v>
                </c:pt>
                <c:pt idx="1">
                  <c:v>5.3571428571428577</c:v>
                </c:pt>
                <c:pt idx="2">
                  <c:v>8.9285714285714288</c:v>
                </c:pt>
                <c:pt idx="3">
                  <c:v>12.500000000000002</c:v>
                </c:pt>
                <c:pt idx="4">
                  <c:v>16.071428571428573</c:v>
                </c:pt>
                <c:pt idx="5">
                  <c:v>19.642857142857142</c:v>
                </c:pt>
                <c:pt idx="6">
                  <c:v>23.214285714285715</c:v>
                </c:pt>
                <c:pt idx="7">
                  <c:v>26.785714285714285</c:v>
                </c:pt>
                <c:pt idx="8">
                  <c:v>30.357142857142858</c:v>
                </c:pt>
                <c:pt idx="9">
                  <c:v>33.928571428571431</c:v>
                </c:pt>
                <c:pt idx="10">
                  <c:v>37.5</c:v>
                </c:pt>
                <c:pt idx="11">
                  <c:v>41.071428571428569</c:v>
                </c:pt>
                <c:pt idx="12">
                  <c:v>44.642857142857146</c:v>
                </c:pt>
                <c:pt idx="13">
                  <c:v>48.214285714285715</c:v>
                </c:pt>
                <c:pt idx="14">
                  <c:v>51.785714285714285</c:v>
                </c:pt>
                <c:pt idx="15">
                  <c:v>55.357142857142861</c:v>
                </c:pt>
                <c:pt idx="16">
                  <c:v>58.928571428571431</c:v>
                </c:pt>
                <c:pt idx="17">
                  <c:v>62.5</c:v>
                </c:pt>
                <c:pt idx="18">
                  <c:v>66.071428571428584</c:v>
                </c:pt>
                <c:pt idx="19">
                  <c:v>69.642857142857153</c:v>
                </c:pt>
                <c:pt idx="20">
                  <c:v>73.214285714285722</c:v>
                </c:pt>
                <c:pt idx="21">
                  <c:v>76.785714285714292</c:v>
                </c:pt>
                <c:pt idx="22">
                  <c:v>80.357142857142861</c:v>
                </c:pt>
                <c:pt idx="23">
                  <c:v>83.928571428571445</c:v>
                </c:pt>
                <c:pt idx="24">
                  <c:v>87.500000000000014</c:v>
                </c:pt>
                <c:pt idx="25">
                  <c:v>91.071428571428584</c:v>
                </c:pt>
                <c:pt idx="26">
                  <c:v>94.642857142857153</c:v>
                </c:pt>
                <c:pt idx="27">
                  <c:v>98.214285714285722</c:v>
                </c:pt>
              </c:numCache>
            </c:numRef>
          </c:xVal>
          <c:yVal>
            <c:numRef>
              <c:f>Async回路回帰分析_グラフ出力!$Q$139:$Q$166</c:f>
              <c:numCache>
                <c:formatCode>General</c:formatCode>
                <c:ptCount val="28"/>
                <c:pt idx="0">
                  <c:v>1.4950967741935479</c:v>
                </c:pt>
                <c:pt idx="1">
                  <c:v>1.5098225806451615</c:v>
                </c:pt>
                <c:pt idx="2">
                  <c:v>1.5145806451612909</c:v>
                </c:pt>
                <c:pt idx="3">
                  <c:v>1.5172580645161298</c:v>
                </c:pt>
                <c:pt idx="4">
                  <c:v>1.520483870967742</c:v>
                </c:pt>
                <c:pt idx="5">
                  <c:v>1.5252419354838715</c:v>
                </c:pt>
                <c:pt idx="6">
                  <c:v>1.5347096774193549</c:v>
                </c:pt>
                <c:pt idx="7">
                  <c:v>1.5451451612903224</c:v>
                </c:pt>
                <c:pt idx="8">
                  <c:v>1.5475161290322592</c:v>
                </c:pt>
                <c:pt idx="9">
                  <c:v>1.5476612903225815</c:v>
                </c:pt>
                <c:pt idx="10">
                  <c:v>1.5532580645161289</c:v>
                </c:pt>
                <c:pt idx="11">
                  <c:v>1.5559677419354854</c:v>
                </c:pt>
                <c:pt idx="12">
                  <c:v>1.5618870967741938</c:v>
                </c:pt>
                <c:pt idx="13">
                  <c:v>1.5660322580645156</c:v>
                </c:pt>
                <c:pt idx="14">
                  <c:v>1.5768064516129028</c:v>
                </c:pt>
                <c:pt idx="15">
                  <c:v>1.5798870967741931</c:v>
                </c:pt>
                <c:pt idx="16">
                  <c:v>1.5866129032258058</c:v>
                </c:pt>
                <c:pt idx="17">
                  <c:v>1.5899677419354832</c:v>
                </c:pt>
                <c:pt idx="18">
                  <c:v>1.5903225806451604</c:v>
                </c:pt>
                <c:pt idx="19">
                  <c:v>1.6199193548387099</c:v>
                </c:pt>
                <c:pt idx="20">
                  <c:v>1.6200806451612895</c:v>
                </c:pt>
                <c:pt idx="21">
                  <c:v>1.6214838709677417</c:v>
                </c:pt>
                <c:pt idx="22">
                  <c:v>1.6275806451612902</c:v>
                </c:pt>
                <c:pt idx="23">
                  <c:v>1.6426290322580643</c:v>
                </c:pt>
                <c:pt idx="24">
                  <c:v>1.6731935483870966</c:v>
                </c:pt>
                <c:pt idx="25">
                  <c:v>1.7004354838709654</c:v>
                </c:pt>
                <c:pt idx="26">
                  <c:v>1.7232258064516135</c:v>
                </c:pt>
                <c:pt idx="27">
                  <c:v>1.7512741935483882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17-44B2-8C9E-01090177F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779215"/>
        <c:axId val="1419473631"/>
      </c:scatterChart>
      <c:valAx>
        <c:axId val="14277792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9473631"/>
        <c:crosses val="autoZero"/>
        <c:crossBetween val="midCat"/>
      </c:valAx>
      <c:valAx>
        <c:axId val="14194736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42777921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Async回路回帰分析_グラフ出力!$A$69</c:f>
              <c:strCache>
                <c:ptCount val="1"/>
                <c:pt idx="0">
                  <c:v>20MHz100N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Async回路回帰分析_グラフ出力!$H$69:$H$75</c:f>
              <c:numCache>
                <c:formatCode>General</c:formatCode>
                <c:ptCount val="7"/>
                <c:pt idx="0">
                  <c:v>34569</c:v>
                </c:pt>
                <c:pt idx="1">
                  <c:v>31842</c:v>
                </c:pt>
                <c:pt idx="2">
                  <c:v>28839</c:v>
                </c:pt>
                <c:pt idx="3">
                  <c:v>24907</c:v>
                </c:pt>
                <c:pt idx="4">
                  <c:v>20600</c:v>
                </c:pt>
                <c:pt idx="5">
                  <c:v>15645</c:v>
                </c:pt>
                <c:pt idx="6">
                  <c:v>9426</c:v>
                </c:pt>
              </c:numCache>
            </c:numRef>
          </c:xVal>
          <c:yVal>
            <c:numRef>
              <c:f>Async回路回帰分析_グラフ出力!$C$69:$C$75</c:f>
              <c:numCache>
                <c:formatCode>0.000</c:formatCode>
                <c:ptCount val="7"/>
                <c:pt idx="0">
                  <c:v>1.6275806451612902</c:v>
                </c:pt>
                <c:pt idx="1">
                  <c:v>1.6200806451612895</c:v>
                </c:pt>
                <c:pt idx="2">
                  <c:v>1.5903225806451604</c:v>
                </c:pt>
                <c:pt idx="3">
                  <c:v>1.5798870967741931</c:v>
                </c:pt>
                <c:pt idx="4">
                  <c:v>1.5660322580645156</c:v>
                </c:pt>
                <c:pt idx="5">
                  <c:v>1.5476612903225815</c:v>
                </c:pt>
                <c:pt idx="6">
                  <c:v>1.520483870967742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4B-40BD-90DC-538ECCE82E48}"/>
            </c:ext>
          </c:extLst>
        </c:ser>
        <c:ser>
          <c:idx val="2"/>
          <c:order val="2"/>
          <c:tx>
            <c:strRef>
              <c:f>Async回路回帰分析_グラフ出力!$A$76</c:f>
              <c:strCache>
                <c:ptCount val="1"/>
                <c:pt idx="0">
                  <c:v>40MHz100N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Async回路回帰分析_グラフ出力!$H$76:$H$82</c:f>
              <c:numCache>
                <c:formatCode>General</c:formatCode>
                <c:ptCount val="7"/>
                <c:pt idx="0">
                  <c:v>30517</c:v>
                </c:pt>
                <c:pt idx="1">
                  <c:v>29319</c:v>
                </c:pt>
                <c:pt idx="2">
                  <c:v>25524</c:v>
                </c:pt>
                <c:pt idx="3">
                  <c:v>23105</c:v>
                </c:pt>
                <c:pt idx="4">
                  <c:v>18558</c:v>
                </c:pt>
                <c:pt idx="5">
                  <c:v>12337</c:v>
                </c:pt>
                <c:pt idx="6">
                  <c:v>5966</c:v>
                </c:pt>
              </c:numCache>
            </c:numRef>
          </c:xVal>
          <c:yVal>
            <c:numRef>
              <c:f>Async回路回帰分析_グラフ出力!$C$76:$C$82</c:f>
              <c:numCache>
                <c:formatCode>0.000</c:formatCode>
                <c:ptCount val="7"/>
                <c:pt idx="0">
                  <c:v>1.7512741935483882</c:v>
                </c:pt>
                <c:pt idx="1">
                  <c:v>1.7232258064516135</c:v>
                </c:pt>
                <c:pt idx="2">
                  <c:v>1.7004354838709654</c:v>
                </c:pt>
                <c:pt idx="3">
                  <c:v>1.6731935483870966</c:v>
                </c:pt>
                <c:pt idx="4">
                  <c:v>1.6426290322580643</c:v>
                </c:pt>
                <c:pt idx="5">
                  <c:v>1.6214838709677417</c:v>
                </c:pt>
                <c:pt idx="6">
                  <c:v>1.5559677419354854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4B-40BD-90DC-538ECCE82E48}"/>
            </c:ext>
          </c:extLst>
        </c:ser>
        <c:ser>
          <c:idx val="3"/>
          <c:order val="3"/>
          <c:tx>
            <c:strRef>
              <c:f>Async回路回帰分析_グラフ出力!$A$83</c:f>
              <c:strCache>
                <c:ptCount val="1"/>
                <c:pt idx="0">
                  <c:v>20MHz50N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Async回路回帰分析_グラフ出力!$H$83:$H$89</c:f>
              <c:numCache>
                <c:formatCode>General</c:formatCode>
                <c:ptCount val="7"/>
                <c:pt idx="0">
                  <c:v>17062</c:v>
                </c:pt>
                <c:pt idx="1">
                  <c:v>16105</c:v>
                </c:pt>
                <c:pt idx="2">
                  <c:v>14573</c:v>
                </c:pt>
                <c:pt idx="3">
                  <c:v>12593</c:v>
                </c:pt>
                <c:pt idx="4">
                  <c:v>10456</c:v>
                </c:pt>
                <c:pt idx="5">
                  <c:v>7970</c:v>
                </c:pt>
                <c:pt idx="6">
                  <c:v>4854</c:v>
                </c:pt>
              </c:numCache>
            </c:numRef>
          </c:xVal>
          <c:yVal>
            <c:numRef>
              <c:f>Async回路回帰分析_グラフ出力!$C$83:$C$89</c:f>
              <c:numCache>
                <c:formatCode>0.000</c:formatCode>
                <c:ptCount val="7"/>
                <c:pt idx="0">
                  <c:v>1.5532580645161289</c:v>
                </c:pt>
                <c:pt idx="1">
                  <c:v>1.5451451612903224</c:v>
                </c:pt>
                <c:pt idx="2">
                  <c:v>1.5347096774193549</c:v>
                </c:pt>
                <c:pt idx="3">
                  <c:v>1.5252419354838715</c:v>
                </c:pt>
                <c:pt idx="4">
                  <c:v>1.5172580645161298</c:v>
                </c:pt>
                <c:pt idx="5">
                  <c:v>1.5098225806451615</c:v>
                </c:pt>
                <c:pt idx="6">
                  <c:v>1.4950967741935479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4B-40BD-90DC-538ECCE82E48}"/>
            </c:ext>
          </c:extLst>
        </c:ser>
        <c:ser>
          <c:idx val="4"/>
          <c:order val="4"/>
          <c:tx>
            <c:strRef>
              <c:f>Async回路回帰分析_グラフ出力!$A$90</c:f>
              <c:strCache>
                <c:ptCount val="1"/>
                <c:pt idx="0">
                  <c:v>40MHz50N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Async回路回帰分析_グラフ出力!$H$90:$H$96</c:f>
              <c:numCache>
                <c:formatCode>General</c:formatCode>
                <c:ptCount val="7"/>
                <c:pt idx="0">
                  <c:v>15337</c:v>
                </c:pt>
                <c:pt idx="1">
                  <c:v>14749</c:v>
                </c:pt>
                <c:pt idx="2">
                  <c:v>13203</c:v>
                </c:pt>
                <c:pt idx="3">
                  <c:v>11613</c:v>
                </c:pt>
                <c:pt idx="4">
                  <c:v>9378</c:v>
                </c:pt>
                <c:pt idx="5">
                  <c:v>6292</c:v>
                </c:pt>
                <c:pt idx="6">
                  <c:v>3116</c:v>
                </c:pt>
              </c:numCache>
            </c:numRef>
          </c:xVal>
          <c:yVal>
            <c:numRef>
              <c:f>Async回路回帰分析_グラフ出力!$C$90:$C$96</c:f>
              <c:numCache>
                <c:formatCode>0.000</c:formatCode>
                <c:ptCount val="7"/>
                <c:pt idx="0">
                  <c:v>1.6199193548387099</c:v>
                </c:pt>
                <c:pt idx="1">
                  <c:v>1.5899677419354832</c:v>
                </c:pt>
                <c:pt idx="2">
                  <c:v>1.5866129032258058</c:v>
                </c:pt>
                <c:pt idx="3">
                  <c:v>1.5768064516129028</c:v>
                </c:pt>
                <c:pt idx="4">
                  <c:v>1.5618870967741938</c:v>
                </c:pt>
                <c:pt idx="5">
                  <c:v>1.5475161290322592</c:v>
                </c:pt>
                <c:pt idx="6">
                  <c:v>1.5145806451612909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4B-40BD-90DC-538ECCE82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3483328"/>
        <c:axId val="48329712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Async回路回帰分析_グラフ出力!$H$69:$H$96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34569</c:v>
                      </c:pt>
                      <c:pt idx="1">
                        <c:v>31842</c:v>
                      </c:pt>
                      <c:pt idx="2">
                        <c:v>28839</c:v>
                      </c:pt>
                      <c:pt idx="3">
                        <c:v>24907</c:v>
                      </c:pt>
                      <c:pt idx="4">
                        <c:v>20600</c:v>
                      </c:pt>
                      <c:pt idx="5">
                        <c:v>15645</c:v>
                      </c:pt>
                      <c:pt idx="6">
                        <c:v>9426</c:v>
                      </c:pt>
                      <c:pt idx="7">
                        <c:v>30517</c:v>
                      </c:pt>
                      <c:pt idx="8">
                        <c:v>29319</c:v>
                      </c:pt>
                      <c:pt idx="9">
                        <c:v>25524</c:v>
                      </c:pt>
                      <c:pt idx="10">
                        <c:v>23105</c:v>
                      </c:pt>
                      <c:pt idx="11">
                        <c:v>18558</c:v>
                      </c:pt>
                      <c:pt idx="12">
                        <c:v>12337</c:v>
                      </c:pt>
                      <c:pt idx="13">
                        <c:v>5966</c:v>
                      </c:pt>
                      <c:pt idx="14">
                        <c:v>17062</c:v>
                      </c:pt>
                      <c:pt idx="15">
                        <c:v>16105</c:v>
                      </c:pt>
                      <c:pt idx="16">
                        <c:v>14573</c:v>
                      </c:pt>
                      <c:pt idx="17">
                        <c:v>12593</c:v>
                      </c:pt>
                      <c:pt idx="18">
                        <c:v>10456</c:v>
                      </c:pt>
                      <c:pt idx="19">
                        <c:v>7970</c:v>
                      </c:pt>
                      <c:pt idx="20">
                        <c:v>4854</c:v>
                      </c:pt>
                      <c:pt idx="21">
                        <c:v>15337</c:v>
                      </c:pt>
                      <c:pt idx="22">
                        <c:v>14749</c:v>
                      </c:pt>
                      <c:pt idx="23">
                        <c:v>13203</c:v>
                      </c:pt>
                      <c:pt idx="24">
                        <c:v>11613</c:v>
                      </c:pt>
                      <c:pt idx="25">
                        <c:v>9378</c:v>
                      </c:pt>
                      <c:pt idx="26">
                        <c:v>6292</c:v>
                      </c:pt>
                      <c:pt idx="27">
                        <c:v>3116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04B-40BD-90DC-538ECCE82E48}"/>
                  </c:ext>
                </c:extLst>
              </c15:ser>
            </c15:filteredScatterSeries>
          </c:ext>
        </c:extLst>
      </c:scatterChart>
      <c:valAx>
        <c:axId val="48348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回路規模（</a:t>
                </a:r>
                <a:r>
                  <a:rPr lang="en-US" altLang="ja-JP"/>
                  <a:t>LUT</a:t>
                </a:r>
                <a:r>
                  <a:rPr lang="ja-JP" altLang="en-US"/>
                  <a:t>＋</a:t>
                </a:r>
                <a:r>
                  <a:rPr lang="en-US" altLang="ja-JP"/>
                  <a:t>REG</a:t>
                </a:r>
                <a:r>
                  <a:rPr lang="ja-JP" altLang="en-US"/>
                  <a:t>）</a:t>
                </a:r>
              </a:p>
            </c:rich>
          </c:tx>
          <c:layout>
            <c:manualLayout>
              <c:xMode val="edge"/>
              <c:yMode val="edge"/>
              <c:x val="0.42684054484419581"/>
              <c:y val="0.772327380014841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3297120"/>
        <c:crosses val="autoZero"/>
        <c:crossBetween val="midCat"/>
      </c:valAx>
      <c:valAx>
        <c:axId val="48329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POWER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3483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364938487559385"/>
          <c:y val="0.84758957987941796"/>
          <c:w val="0.54026472615347143"/>
          <c:h val="0.128694469759196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正規確率グラフ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Async回路回帰分析_グラフ出力!$F$201:$F$228</c:f>
              <c:numCache>
                <c:formatCode>General</c:formatCode>
                <c:ptCount val="28"/>
                <c:pt idx="0">
                  <c:v>1.7857142857142858</c:v>
                </c:pt>
                <c:pt idx="1">
                  <c:v>5.3571428571428577</c:v>
                </c:pt>
                <c:pt idx="2">
                  <c:v>8.9285714285714288</c:v>
                </c:pt>
                <c:pt idx="3">
                  <c:v>12.500000000000002</c:v>
                </c:pt>
                <c:pt idx="4">
                  <c:v>16.071428571428573</c:v>
                </c:pt>
                <c:pt idx="5">
                  <c:v>19.642857142857142</c:v>
                </c:pt>
                <c:pt idx="6">
                  <c:v>23.214285714285715</c:v>
                </c:pt>
                <c:pt idx="7">
                  <c:v>26.785714285714285</c:v>
                </c:pt>
                <c:pt idx="8">
                  <c:v>30.357142857142858</c:v>
                </c:pt>
                <c:pt idx="9">
                  <c:v>33.928571428571431</c:v>
                </c:pt>
                <c:pt idx="10">
                  <c:v>37.5</c:v>
                </c:pt>
                <c:pt idx="11">
                  <c:v>41.071428571428569</c:v>
                </c:pt>
                <c:pt idx="12">
                  <c:v>44.642857142857146</c:v>
                </c:pt>
                <c:pt idx="13">
                  <c:v>48.214285714285715</c:v>
                </c:pt>
                <c:pt idx="14">
                  <c:v>51.785714285714285</c:v>
                </c:pt>
                <c:pt idx="15">
                  <c:v>55.357142857142861</c:v>
                </c:pt>
                <c:pt idx="16">
                  <c:v>58.928571428571431</c:v>
                </c:pt>
                <c:pt idx="17">
                  <c:v>62.5</c:v>
                </c:pt>
                <c:pt idx="18">
                  <c:v>66.071428571428584</c:v>
                </c:pt>
                <c:pt idx="19">
                  <c:v>69.642857142857153</c:v>
                </c:pt>
                <c:pt idx="20">
                  <c:v>73.214285714285722</c:v>
                </c:pt>
                <c:pt idx="21">
                  <c:v>76.785714285714292</c:v>
                </c:pt>
                <c:pt idx="22">
                  <c:v>80.357142857142861</c:v>
                </c:pt>
                <c:pt idx="23">
                  <c:v>83.928571428571445</c:v>
                </c:pt>
                <c:pt idx="24">
                  <c:v>87.500000000000014</c:v>
                </c:pt>
                <c:pt idx="25">
                  <c:v>91.071428571428584</c:v>
                </c:pt>
                <c:pt idx="26">
                  <c:v>94.642857142857153</c:v>
                </c:pt>
                <c:pt idx="27">
                  <c:v>98.214285714285722</c:v>
                </c:pt>
              </c:numCache>
            </c:numRef>
          </c:xVal>
          <c:yVal>
            <c:numRef>
              <c:f>Async回路回帰分析_グラフ出力!$G$201:$G$228</c:f>
              <c:numCache>
                <c:formatCode>General</c:formatCode>
                <c:ptCount val="28"/>
                <c:pt idx="0">
                  <c:v>2.5483870967739632E-10</c:v>
                </c:pt>
                <c:pt idx="1">
                  <c:v>6.1451612903227209E-10</c:v>
                </c:pt>
                <c:pt idx="2">
                  <c:v>9.9112903225807578E-10</c:v>
                </c:pt>
                <c:pt idx="3">
                  <c:v>1.3629032258064888E-9</c:v>
                </c:pt>
                <c:pt idx="4">
                  <c:v>1.4379032258064806E-9</c:v>
                </c:pt>
                <c:pt idx="5">
                  <c:v>1.5241935483870983E-9</c:v>
                </c:pt>
                <c:pt idx="6">
                  <c:v>1.6491935483871346E-9</c:v>
                </c:pt>
                <c:pt idx="7">
                  <c:v>1.7620967741935778E-9</c:v>
                </c:pt>
                <c:pt idx="8">
                  <c:v>1.7971774193548451E-9</c:v>
                </c:pt>
                <c:pt idx="9">
                  <c:v>2.1701612903225699E-9</c:v>
                </c:pt>
                <c:pt idx="10">
                  <c:v>2.235483870967747E-9</c:v>
                </c:pt>
                <c:pt idx="11">
                  <c:v>2.4153225806451461E-9</c:v>
                </c:pt>
                <c:pt idx="12">
                  <c:v>2.4991935483870799E-9</c:v>
                </c:pt>
                <c:pt idx="13">
                  <c:v>2.7572580645161217E-9</c:v>
                </c:pt>
                <c:pt idx="14">
                  <c:v>2.8830645161290748E-9</c:v>
                </c:pt>
                <c:pt idx="15">
                  <c:v>3.1629032258064462E-9</c:v>
                </c:pt>
                <c:pt idx="16">
                  <c:v>3.2479838709677466E-9</c:v>
                </c:pt>
                <c:pt idx="17">
                  <c:v>3.2870967741935429E-9</c:v>
                </c:pt>
                <c:pt idx="18">
                  <c:v>3.8016129032257816E-9</c:v>
                </c:pt>
                <c:pt idx="19">
                  <c:v>3.8157258064516088E-9</c:v>
                </c:pt>
                <c:pt idx="20">
                  <c:v>4.4943548387096573E-9</c:v>
                </c:pt>
                <c:pt idx="21">
                  <c:v>4.5798387096774136E-9</c:v>
                </c:pt>
                <c:pt idx="22">
                  <c:v>5.0161290322580212E-9</c:v>
                </c:pt>
                <c:pt idx="23">
                  <c:v>5.2608870967741357E-9</c:v>
                </c:pt>
                <c:pt idx="24">
                  <c:v>5.8306451612903375E-9</c:v>
                </c:pt>
                <c:pt idx="25">
                  <c:v>6.5040322580644735E-9</c:v>
                </c:pt>
                <c:pt idx="26">
                  <c:v>6.5318548387097054E-9</c:v>
                </c:pt>
                <c:pt idx="27">
                  <c:v>6.87903225806451E-9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71-4FEA-B735-911ADEB8F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151584"/>
        <c:axId val="1094013696"/>
      </c:scatterChart>
      <c:valAx>
        <c:axId val="53015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サンプル百分位数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94013696"/>
        <c:crosses val="autoZero"/>
        <c:crossBetween val="midCat"/>
      </c:valAx>
      <c:valAx>
        <c:axId val="10940136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P/f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15158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chart" Target="../charts/chart16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13" Type="http://schemas.openxmlformats.org/officeDocument/2006/relationships/chart" Target="../charts/chart32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12" Type="http://schemas.openxmlformats.org/officeDocument/2006/relationships/chart" Target="../charts/chart31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7" Type="http://schemas.openxmlformats.org/officeDocument/2006/relationships/chart" Target="../charts/chart48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6" Type="http://schemas.openxmlformats.org/officeDocument/2006/relationships/chart" Target="../charts/chart47.xml"/><Relationship Id="rId5" Type="http://schemas.openxmlformats.org/officeDocument/2006/relationships/chart" Target="../charts/chart46.xml"/><Relationship Id="rId4" Type="http://schemas.openxmlformats.org/officeDocument/2006/relationships/chart" Target="../charts/chart4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433387</xdr:colOff>
      <xdr:row>80</xdr:row>
      <xdr:rowOff>180975</xdr:rowOff>
    </xdr:from>
    <xdr:to>
      <xdr:col>15</xdr:col>
      <xdr:colOff>204787</xdr:colOff>
      <xdr:row>92</xdr:row>
      <xdr:rowOff>66675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E2CC025-A8F8-4292-AD5B-6DB9A8F79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481012</xdr:colOff>
      <xdr:row>72</xdr:row>
      <xdr:rowOff>76200</xdr:rowOff>
    </xdr:from>
    <xdr:to>
      <xdr:col>39</xdr:col>
      <xdr:colOff>252412</xdr:colOff>
      <xdr:row>83</xdr:row>
      <xdr:rowOff>200025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BAE1811-6ACD-4E76-AD00-F3B327CEF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47625</xdr:colOff>
      <xdr:row>75</xdr:row>
      <xdr:rowOff>171450</xdr:rowOff>
    </xdr:from>
    <xdr:to>
      <xdr:col>22</xdr:col>
      <xdr:colOff>19050</xdr:colOff>
      <xdr:row>92</xdr:row>
      <xdr:rowOff>57150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B5612C6C-9573-4056-8DEC-F4ED029C3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70</xdr:row>
      <xdr:rowOff>71437</xdr:rowOff>
    </xdr:from>
    <xdr:to>
      <xdr:col>11</xdr:col>
      <xdr:colOff>57150</xdr:colOff>
      <xdr:row>81</xdr:row>
      <xdr:rowOff>195262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71F9188-C9F2-F051-A6DA-C9CCCB7AA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95249</xdr:colOff>
      <xdr:row>69</xdr:row>
      <xdr:rowOff>123824</xdr:rowOff>
    </xdr:from>
    <xdr:to>
      <xdr:col>33</xdr:col>
      <xdr:colOff>428624</xdr:colOff>
      <xdr:row>85</xdr:row>
      <xdr:rowOff>133349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2279E95-2382-61A3-8A71-AD564E2FD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309562</xdr:colOff>
      <xdr:row>69</xdr:row>
      <xdr:rowOff>228599</xdr:rowOff>
    </xdr:from>
    <xdr:to>
      <xdr:col>23</xdr:col>
      <xdr:colOff>590550</xdr:colOff>
      <xdr:row>82</xdr:row>
      <xdr:rowOff>228599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AD12BDA8-AC65-CDC2-B3CC-AE67A70C2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328612</xdr:colOff>
      <xdr:row>95</xdr:row>
      <xdr:rowOff>57150</xdr:rowOff>
    </xdr:from>
    <xdr:to>
      <xdr:col>16</xdr:col>
      <xdr:colOff>71437</xdr:colOff>
      <xdr:row>106</xdr:row>
      <xdr:rowOff>180975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B08BD06-3DB0-480D-ADC7-34E10596D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671511</xdr:colOff>
      <xdr:row>108</xdr:row>
      <xdr:rowOff>9524</xdr:rowOff>
    </xdr:from>
    <xdr:to>
      <xdr:col>18</xdr:col>
      <xdr:colOff>390525</xdr:colOff>
      <xdr:row>124</xdr:row>
      <xdr:rowOff>19049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51BDC28-FE8B-4DCF-8ECC-D9525A75C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108</xdr:row>
      <xdr:rowOff>0</xdr:rowOff>
    </xdr:from>
    <xdr:to>
      <xdr:col>7</xdr:col>
      <xdr:colOff>457200</xdr:colOff>
      <xdr:row>119</xdr:row>
      <xdr:rowOff>123825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D129ED2F-A84C-45A6-9580-7854A263C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671512</xdr:colOff>
      <xdr:row>128</xdr:row>
      <xdr:rowOff>0</xdr:rowOff>
    </xdr:from>
    <xdr:to>
      <xdr:col>11</xdr:col>
      <xdr:colOff>442912</xdr:colOff>
      <xdr:row>139</xdr:row>
      <xdr:rowOff>123825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56A68F8D-DED1-4245-AC08-358BAA7B4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642937</xdr:colOff>
      <xdr:row>127</xdr:row>
      <xdr:rowOff>219075</xdr:rowOff>
    </xdr:from>
    <xdr:to>
      <xdr:col>22</xdr:col>
      <xdr:colOff>414337</xdr:colOff>
      <xdr:row>139</xdr:row>
      <xdr:rowOff>104775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63739DCE-336C-4FDC-AA2B-F1969DFED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14286</xdr:colOff>
      <xdr:row>140</xdr:row>
      <xdr:rowOff>0</xdr:rowOff>
    </xdr:from>
    <xdr:to>
      <xdr:col>25</xdr:col>
      <xdr:colOff>371475</xdr:colOff>
      <xdr:row>151</xdr:row>
      <xdr:rowOff>123825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414F19F0-F216-4B6A-A042-39C206031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23812</xdr:colOff>
      <xdr:row>151</xdr:row>
      <xdr:rowOff>19050</xdr:rowOff>
    </xdr:from>
    <xdr:to>
      <xdr:col>11</xdr:col>
      <xdr:colOff>481012</xdr:colOff>
      <xdr:row>162</xdr:row>
      <xdr:rowOff>142875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43DA3B0-0D13-427E-8047-867C5B7109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358428</xdr:colOff>
      <xdr:row>96</xdr:row>
      <xdr:rowOff>22778</xdr:rowOff>
    </xdr:from>
    <xdr:to>
      <xdr:col>35</xdr:col>
      <xdr:colOff>515591</xdr:colOff>
      <xdr:row>113</xdr:row>
      <xdr:rowOff>224872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4EAA3756-0309-482D-800A-3F78B3056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35</xdr:col>
      <xdr:colOff>609599</xdr:colOff>
      <xdr:row>96</xdr:row>
      <xdr:rowOff>114300</xdr:rowOff>
    </xdr:from>
    <xdr:to>
      <xdr:col>44</xdr:col>
      <xdr:colOff>104774</xdr:colOff>
      <xdr:row>112</xdr:row>
      <xdr:rowOff>76199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10E29C76-4E06-4543-A088-A5C52BCF2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672754</xdr:colOff>
      <xdr:row>172</xdr:row>
      <xdr:rowOff>34372</xdr:rowOff>
    </xdr:from>
    <xdr:to>
      <xdr:col>25</xdr:col>
      <xdr:colOff>553692</xdr:colOff>
      <xdr:row>188</xdr:row>
      <xdr:rowOff>179317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03B30E9B-0295-4E78-B16B-0FECB3AC6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621</xdr:colOff>
      <xdr:row>189</xdr:row>
      <xdr:rowOff>5798</xdr:rowOff>
    </xdr:from>
    <xdr:to>
      <xdr:col>25</xdr:col>
      <xdr:colOff>563217</xdr:colOff>
      <xdr:row>206</xdr:row>
      <xdr:rowOff>190500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5E4AA34F-68FE-4EF3-AA1A-4DA59BBC5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168087</xdr:colOff>
      <xdr:row>117</xdr:row>
      <xdr:rowOff>219635</xdr:rowOff>
    </xdr:from>
    <xdr:to>
      <xdr:col>42</xdr:col>
      <xdr:colOff>333375</xdr:colOff>
      <xdr:row>135</xdr:row>
      <xdr:rowOff>152401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F28BC527-3B68-4242-B4A0-4DEA3C549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609600</xdr:colOff>
      <xdr:row>221</xdr:row>
      <xdr:rowOff>180975</xdr:rowOff>
    </xdr:from>
    <xdr:to>
      <xdr:col>14</xdr:col>
      <xdr:colOff>704850</xdr:colOff>
      <xdr:row>238</xdr:row>
      <xdr:rowOff>0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9FC09AEF-D3EC-4E12-A32E-1F23D633D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305329</xdr:colOff>
      <xdr:row>65</xdr:row>
      <xdr:rowOff>222250</xdr:rowOff>
    </xdr:from>
    <xdr:to>
      <xdr:col>22</xdr:col>
      <xdr:colOff>76729</xdr:colOff>
      <xdr:row>78</xdr:row>
      <xdr:rowOff>133350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768CF43-2237-44CB-BBAB-1B8BD56EA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280987</xdr:colOff>
      <xdr:row>84</xdr:row>
      <xdr:rowOff>10583</xdr:rowOff>
    </xdr:from>
    <xdr:to>
      <xdr:col>22</xdr:col>
      <xdr:colOff>52387</xdr:colOff>
      <xdr:row>96</xdr:row>
      <xdr:rowOff>152400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35428256-C110-47B8-8FB8-861C0D681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312209</xdr:colOff>
      <xdr:row>66</xdr:row>
      <xdr:rowOff>116416</xdr:rowOff>
    </xdr:from>
    <xdr:to>
      <xdr:col>29</xdr:col>
      <xdr:colOff>81492</xdr:colOff>
      <xdr:row>77</xdr:row>
      <xdr:rowOff>240242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27B9EADD-E32C-4814-8707-B6B763A0C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240770</xdr:colOff>
      <xdr:row>82</xdr:row>
      <xdr:rowOff>21166</xdr:rowOff>
    </xdr:from>
    <xdr:to>
      <xdr:col>29</xdr:col>
      <xdr:colOff>21166</xdr:colOff>
      <xdr:row>96</xdr:row>
      <xdr:rowOff>111125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773B121E-C644-40CA-8322-1FFB95E43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593724</xdr:colOff>
      <xdr:row>68</xdr:row>
      <xdr:rowOff>0</xdr:rowOff>
    </xdr:from>
    <xdr:to>
      <xdr:col>37</xdr:col>
      <xdr:colOff>465667</xdr:colOff>
      <xdr:row>79</xdr:row>
      <xdr:rowOff>31750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78448473-0E7B-46E5-A3F6-8E7B594C3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211667</xdr:colOff>
      <xdr:row>83</xdr:row>
      <xdr:rowOff>31751</xdr:rowOff>
    </xdr:from>
    <xdr:to>
      <xdr:col>37</xdr:col>
      <xdr:colOff>539750</xdr:colOff>
      <xdr:row>96</xdr:row>
      <xdr:rowOff>159806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22004541-1C05-4A7B-8BB5-D1BD8010D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677334</xdr:colOff>
      <xdr:row>107</xdr:row>
      <xdr:rowOff>9525</xdr:rowOff>
    </xdr:from>
    <xdr:to>
      <xdr:col>7</xdr:col>
      <xdr:colOff>412751</xdr:colOff>
      <xdr:row>118</xdr:row>
      <xdr:rowOff>75141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FAC8207-B4A3-4EEF-A0F1-440EBB7D2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677332</xdr:colOff>
      <xdr:row>111</xdr:row>
      <xdr:rowOff>74083</xdr:rowOff>
    </xdr:from>
    <xdr:to>
      <xdr:col>22</xdr:col>
      <xdr:colOff>42333</xdr:colOff>
      <xdr:row>128</xdr:row>
      <xdr:rowOff>95249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DE84707-67A7-4A6D-92B9-BC7A322AA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275167</xdr:colOff>
      <xdr:row>111</xdr:row>
      <xdr:rowOff>147106</xdr:rowOff>
    </xdr:from>
    <xdr:to>
      <xdr:col>31</xdr:col>
      <xdr:colOff>624417</xdr:colOff>
      <xdr:row>128</xdr:row>
      <xdr:rowOff>169332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3A72B92-2E7B-4DEE-B4D7-4E6C4353C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365124</xdr:colOff>
      <xdr:row>110</xdr:row>
      <xdr:rowOff>200023</xdr:rowOff>
    </xdr:from>
    <xdr:to>
      <xdr:col>43</xdr:col>
      <xdr:colOff>63501</xdr:colOff>
      <xdr:row>128</xdr:row>
      <xdr:rowOff>179917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43B7BFB-7278-4EEA-85E1-234C71F4D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23811</xdr:colOff>
      <xdr:row>139</xdr:row>
      <xdr:rowOff>209549</xdr:rowOff>
    </xdr:from>
    <xdr:to>
      <xdr:col>10</xdr:col>
      <xdr:colOff>581024</xdr:colOff>
      <xdr:row>156</xdr:row>
      <xdr:rowOff>38100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E407707-F652-4C65-BE13-F4DDA4998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247649</xdr:colOff>
      <xdr:row>139</xdr:row>
      <xdr:rowOff>180974</xdr:rowOff>
    </xdr:from>
    <xdr:to>
      <xdr:col>21</xdr:col>
      <xdr:colOff>171450</xdr:colOff>
      <xdr:row>156</xdr:row>
      <xdr:rowOff>66674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E6B7A927-60A6-4A07-8788-91FC3EC21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57149</xdr:colOff>
      <xdr:row>175</xdr:row>
      <xdr:rowOff>66675</xdr:rowOff>
    </xdr:from>
    <xdr:to>
      <xdr:col>15</xdr:col>
      <xdr:colOff>390524</xdr:colOff>
      <xdr:row>188</xdr:row>
      <xdr:rowOff>114300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F668F788-6310-4FAB-B797-CCC66DDE4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461962</xdr:colOff>
      <xdr:row>3</xdr:row>
      <xdr:rowOff>219075</xdr:rowOff>
    </xdr:from>
    <xdr:to>
      <xdr:col>21</xdr:col>
      <xdr:colOff>400050</xdr:colOff>
      <xdr:row>23</xdr:row>
      <xdr:rowOff>219075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489E587-CEFE-4821-8530-ADF39FA05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447675</xdr:colOff>
      <xdr:row>24</xdr:row>
      <xdr:rowOff>161925</xdr:rowOff>
    </xdr:from>
    <xdr:to>
      <xdr:col>21</xdr:col>
      <xdr:colOff>447675</xdr:colOff>
      <xdr:row>43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5468810-90E6-4882-9139-17678078C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57149</xdr:colOff>
      <xdr:row>43</xdr:row>
      <xdr:rowOff>190500</xdr:rowOff>
    </xdr:from>
    <xdr:to>
      <xdr:col>22</xdr:col>
      <xdr:colOff>581024</xdr:colOff>
      <xdr:row>62</xdr:row>
      <xdr:rowOff>200025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D6A4E94-BE2C-4C8F-8A30-85798A175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675959</xdr:colOff>
      <xdr:row>16</xdr:row>
      <xdr:rowOff>233083</xdr:rowOff>
    </xdr:from>
    <xdr:to>
      <xdr:col>35</xdr:col>
      <xdr:colOff>444314</xdr:colOff>
      <xdr:row>40</xdr:row>
      <xdr:rowOff>105945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20E6B25-5818-45C5-B232-4F87CB19C2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109743</xdr:colOff>
      <xdr:row>86</xdr:row>
      <xdr:rowOff>172279</xdr:rowOff>
    </xdr:from>
    <xdr:to>
      <xdr:col>46</xdr:col>
      <xdr:colOff>619125</xdr:colOff>
      <xdr:row>105</xdr:row>
      <xdr:rowOff>168965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CD4951A-C381-4BED-BF16-0F977702D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16565</xdr:colOff>
      <xdr:row>107</xdr:row>
      <xdr:rowOff>193812</xdr:rowOff>
    </xdr:from>
    <xdr:to>
      <xdr:col>47</xdr:col>
      <xdr:colOff>430695</xdr:colOff>
      <xdr:row>127</xdr:row>
      <xdr:rowOff>132522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36D5B4A7-9377-422F-8CFB-853884E41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46</xdr:col>
      <xdr:colOff>136710</xdr:colOff>
      <xdr:row>42</xdr:row>
      <xdr:rowOff>175932</xdr:rowOff>
    </xdr:from>
    <xdr:to>
      <xdr:col>59</xdr:col>
      <xdr:colOff>305919</xdr:colOff>
      <xdr:row>66</xdr:row>
      <xdr:rowOff>75639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8F46F158-700A-4C20-A9B3-5FBFD6255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47</xdr:col>
      <xdr:colOff>28575</xdr:colOff>
      <xdr:row>16</xdr:row>
      <xdr:rowOff>219075</xdr:rowOff>
    </xdr:from>
    <xdr:to>
      <xdr:col>60</xdr:col>
      <xdr:colOff>200026</xdr:colOff>
      <xdr:row>40</xdr:row>
      <xdr:rowOff>114300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117CFBBF-7696-4EA2-806E-35DED0453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62</xdr:col>
      <xdr:colOff>149680</xdr:colOff>
      <xdr:row>66</xdr:row>
      <xdr:rowOff>237244</xdr:rowOff>
    </xdr:from>
    <xdr:to>
      <xdr:col>72</xdr:col>
      <xdr:colOff>54431</xdr:colOff>
      <xdr:row>87</xdr:row>
      <xdr:rowOff>54428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A8DE7B74-4DF5-4AAB-969D-E284D01CC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342899</xdr:colOff>
      <xdr:row>4</xdr:row>
      <xdr:rowOff>219075</xdr:rowOff>
    </xdr:from>
    <xdr:to>
      <xdr:col>19</xdr:col>
      <xdr:colOff>171450</xdr:colOff>
      <xdr:row>20</xdr:row>
      <xdr:rowOff>38100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1974B91-7559-483B-ACD5-34AAF5040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640638</xdr:colOff>
      <xdr:row>66</xdr:row>
      <xdr:rowOff>76199</xdr:rowOff>
    </xdr:from>
    <xdr:to>
      <xdr:col>18</xdr:col>
      <xdr:colOff>276225</xdr:colOff>
      <xdr:row>86</xdr:row>
      <xdr:rowOff>200025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888345B-F3C2-419F-BC34-AE7FF32CF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180974</xdr:colOff>
      <xdr:row>128</xdr:row>
      <xdr:rowOff>0</xdr:rowOff>
    </xdr:from>
    <xdr:to>
      <xdr:col>27</xdr:col>
      <xdr:colOff>638175</xdr:colOff>
      <xdr:row>140</xdr:row>
      <xdr:rowOff>85725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AFD512B-F074-405B-8C09-A621CAB77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209550</xdr:colOff>
      <xdr:row>140</xdr:row>
      <xdr:rowOff>152400</xdr:rowOff>
    </xdr:from>
    <xdr:to>
      <xdr:col>27</xdr:col>
      <xdr:colOff>609600</xdr:colOff>
      <xdr:row>154</xdr:row>
      <xdr:rowOff>123825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589F23B-B20A-4C2B-9F87-C43998F35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161925</xdr:colOff>
      <xdr:row>115</xdr:row>
      <xdr:rowOff>123825</xdr:rowOff>
    </xdr:from>
    <xdr:to>
      <xdr:col>28</xdr:col>
      <xdr:colOff>28575</xdr:colOff>
      <xdr:row>127</xdr:row>
      <xdr:rowOff>238125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7C7600DF-C6E9-4E7F-AF8E-4CC087FE5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108670</xdr:colOff>
      <xdr:row>67</xdr:row>
      <xdr:rowOff>135081</xdr:rowOff>
    </xdr:from>
    <xdr:to>
      <xdr:col>29</xdr:col>
      <xdr:colOff>476250</xdr:colOff>
      <xdr:row>87</xdr:row>
      <xdr:rowOff>163285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9134A8F-74E5-452C-9DF9-62085D391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353290</xdr:colOff>
      <xdr:row>54</xdr:row>
      <xdr:rowOff>211283</xdr:rowOff>
    </xdr:from>
    <xdr:to>
      <xdr:col>29</xdr:col>
      <xdr:colOff>405245</xdr:colOff>
      <xdr:row>64</xdr:row>
      <xdr:rowOff>234662</xdr:rowOff>
    </xdr:to>
    <xdr:graphicFrame macro="">
      <xdr:nvGraphicFramePr>
        <xdr:cNvPr id="27" name="グラフ 26">
          <a:extLst>
            <a:ext uri="{FF2B5EF4-FFF2-40B4-BE49-F238E27FC236}">
              <a16:creationId xmlns:a16="http://schemas.microsoft.com/office/drawing/2014/main" id="{71639FA9-9057-435C-8E28-5CB77E50B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workbookViewId="0"/>
  </sheetViews>
  <sheetFormatPr defaultRowHeight="18.75" x14ac:dyDescent="0.4"/>
  <cols>
    <col min="1" max="1" width="18.625" customWidth="1"/>
    <col min="2" max="2" width="26.25" customWidth="1"/>
    <col min="3" max="3" width="20.875" customWidth="1"/>
    <col min="4" max="4" width="21.125" customWidth="1"/>
    <col min="6" max="6" width="9" customWidth="1"/>
    <col min="7" max="7" width="14.875" customWidth="1"/>
    <col min="8" max="8" width="18.125" customWidth="1"/>
    <col min="9" max="9" width="19.125" customWidth="1"/>
    <col min="10" max="10" width="19" customWidth="1"/>
    <col min="11" max="11" width="10.75" bestFit="1" customWidth="1"/>
  </cols>
  <sheetData>
    <row r="1" spans="1:12" ht="40.5" customHeight="1" x14ac:dyDescent="0.4">
      <c r="A1" s="56" t="s">
        <v>443</v>
      </c>
      <c r="B1" s="57" t="s">
        <v>444</v>
      </c>
      <c r="C1" s="57" t="s">
        <v>445</v>
      </c>
      <c r="D1" s="57" t="s">
        <v>446</v>
      </c>
      <c r="E1" s="47"/>
      <c r="F1" s="47"/>
      <c r="G1" s="56" t="s">
        <v>442</v>
      </c>
      <c r="H1" s="57" t="s">
        <v>444</v>
      </c>
      <c r="I1" s="57" t="s">
        <v>447</v>
      </c>
      <c r="J1" s="57" t="s">
        <v>446</v>
      </c>
      <c r="K1" s="47" t="s">
        <v>448</v>
      </c>
      <c r="L1" s="48"/>
    </row>
    <row r="2" spans="1:12" x14ac:dyDescent="0.4">
      <c r="A2" s="49" t="s">
        <v>23</v>
      </c>
      <c r="B2" s="50">
        <v>3351</v>
      </c>
      <c r="C2" s="50">
        <v>30226</v>
      </c>
      <c r="D2" s="50">
        <v>7759</v>
      </c>
      <c r="E2" s="47"/>
      <c r="F2" s="47"/>
      <c r="G2" s="47" t="s">
        <v>109</v>
      </c>
      <c r="H2" s="47">
        <v>9786</v>
      </c>
      <c r="I2" s="47">
        <v>32416</v>
      </c>
      <c r="J2" s="47">
        <v>8424</v>
      </c>
      <c r="K2" s="47">
        <v>48094</v>
      </c>
      <c r="L2" s="48"/>
    </row>
    <row r="3" spans="1:12" x14ac:dyDescent="0.4">
      <c r="A3" s="49" t="s">
        <v>24</v>
      </c>
      <c r="B3" s="50">
        <v>3351</v>
      </c>
      <c r="C3" s="50">
        <v>26451</v>
      </c>
      <c r="D3" s="50">
        <v>7707</v>
      </c>
      <c r="E3" s="47"/>
      <c r="F3" s="47"/>
      <c r="G3" s="49" t="s">
        <v>30</v>
      </c>
      <c r="H3" s="47">
        <v>9786</v>
      </c>
      <c r="I3" s="50">
        <v>30884</v>
      </c>
      <c r="J3" s="50">
        <v>8426</v>
      </c>
      <c r="K3" s="50">
        <v>38497</v>
      </c>
      <c r="L3" s="48"/>
    </row>
    <row r="4" spans="1:12" x14ac:dyDescent="0.4">
      <c r="A4" s="49" t="s">
        <v>25</v>
      </c>
      <c r="B4" s="50">
        <v>3351</v>
      </c>
      <c r="C4" s="50">
        <v>22184</v>
      </c>
      <c r="D4" s="50">
        <v>7431</v>
      </c>
      <c r="E4" s="47"/>
      <c r="F4" s="47"/>
      <c r="G4" s="49" t="s">
        <v>31</v>
      </c>
      <c r="H4" s="47">
        <v>9786</v>
      </c>
      <c r="I4" s="50">
        <v>22896</v>
      </c>
      <c r="J4" s="50">
        <v>8408</v>
      </c>
      <c r="K4" s="50">
        <v>28897</v>
      </c>
      <c r="L4" s="48"/>
    </row>
    <row r="5" spans="1:12" x14ac:dyDescent="0.4">
      <c r="A5" s="49" t="s">
        <v>26</v>
      </c>
      <c r="B5" s="50">
        <v>3351</v>
      </c>
      <c r="C5" s="50">
        <v>12566</v>
      </c>
      <c r="D5" s="50">
        <v>5013</v>
      </c>
      <c r="E5" s="47"/>
      <c r="F5" s="47"/>
      <c r="G5" s="49" t="s">
        <v>15</v>
      </c>
      <c r="H5" s="47">
        <v>9786</v>
      </c>
      <c r="I5" s="50">
        <v>15328</v>
      </c>
      <c r="J5" s="50">
        <v>8363</v>
      </c>
      <c r="K5" s="50">
        <v>19297</v>
      </c>
      <c r="L5" s="48"/>
    </row>
    <row r="6" spans="1:12" x14ac:dyDescent="0.4">
      <c r="A6" s="49" t="s">
        <v>27</v>
      </c>
      <c r="B6" s="50">
        <v>3351</v>
      </c>
      <c r="C6" s="50">
        <v>6432</v>
      </c>
      <c r="D6" s="50">
        <v>3969</v>
      </c>
      <c r="E6" s="47"/>
      <c r="F6" s="47"/>
      <c r="G6" s="49" t="s">
        <v>16</v>
      </c>
      <c r="H6" s="47">
        <v>9786</v>
      </c>
      <c r="I6" s="50">
        <v>7830</v>
      </c>
      <c r="J6" s="50">
        <v>8270</v>
      </c>
      <c r="K6" s="50">
        <v>9697</v>
      </c>
      <c r="L6" s="48"/>
    </row>
    <row r="7" spans="1:12" x14ac:dyDescent="0.4">
      <c r="A7" s="49" t="s">
        <v>28</v>
      </c>
      <c r="B7" s="50">
        <v>3351</v>
      </c>
      <c r="C7" s="50">
        <v>3255</v>
      </c>
      <c r="D7" s="50">
        <v>3650</v>
      </c>
      <c r="E7" s="47"/>
      <c r="F7" s="47"/>
      <c r="G7" s="47" t="s">
        <v>138</v>
      </c>
      <c r="H7" s="47">
        <v>9786</v>
      </c>
      <c r="I7" s="47">
        <v>96</v>
      </c>
      <c r="J7" s="47">
        <v>6553</v>
      </c>
      <c r="K7" s="47"/>
      <c r="L7" s="48"/>
    </row>
    <row r="8" spans="1:12" x14ac:dyDescent="0.4">
      <c r="A8" s="49" t="s">
        <v>135</v>
      </c>
      <c r="B8" s="50">
        <v>3351</v>
      </c>
      <c r="C8" s="50">
        <v>96</v>
      </c>
      <c r="D8" s="50">
        <v>3283</v>
      </c>
      <c r="E8" s="47"/>
      <c r="F8" s="47"/>
      <c r="G8" s="47"/>
      <c r="H8" s="47"/>
      <c r="I8" s="47"/>
      <c r="J8" s="47"/>
      <c r="K8" s="47"/>
      <c r="L8" s="48"/>
    </row>
    <row r="9" spans="1:12" x14ac:dyDescent="0.4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8"/>
    </row>
    <row r="10" spans="1:12" x14ac:dyDescent="0.4">
      <c r="A10" s="49" t="s">
        <v>442</v>
      </c>
      <c r="B10" s="51" t="s">
        <v>447</v>
      </c>
      <c r="C10" s="51" t="s">
        <v>449</v>
      </c>
      <c r="D10" s="51" t="s">
        <v>448</v>
      </c>
      <c r="E10" s="47"/>
      <c r="F10" s="47"/>
      <c r="G10" s="47"/>
      <c r="H10" s="47"/>
      <c r="I10" s="47"/>
      <c r="J10" s="47"/>
      <c r="K10" s="47"/>
      <c r="L10" s="48"/>
    </row>
    <row r="11" spans="1:12" x14ac:dyDescent="0.4">
      <c r="A11" s="49" t="s">
        <v>23</v>
      </c>
      <c r="B11" s="50">
        <v>30226</v>
      </c>
      <c r="C11" s="47">
        <f>16*32*100</f>
        <v>51200</v>
      </c>
      <c r="D11" s="52">
        <v>51293</v>
      </c>
      <c r="E11" s="47"/>
      <c r="F11" s="47"/>
      <c r="G11" s="47"/>
      <c r="H11" s="47"/>
      <c r="I11" s="47"/>
      <c r="J11" s="47"/>
      <c r="K11" s="47"/>
      <c r="L11" s="48"/>
    </row>
    <row r="12" spans="1:12" x14ac:dyDescent="0.4">
      <c r="A12" s="49" t="s">
        <v>24</v>
      </c>
      <c r="B12" s="50">
        <v>26451</v>
      </c>
      <c r="C12" s="47">
        <f>12*32*100</f>
        <v>38400</v>
      </c>
      <c r="D12" s="52">
        <v>38497</v>
      </c>
      <c r="E12" s="47"/>
      <c r="F12" s="47"/>
      <c r="G12" s="47"/>
      <c r="H12" s="47"/>
      <c r="I12" s="47"/>
      <c r="J12" s="47"/>
      <c r="K12" s="47"/>
      <c r="L12" s="48"/>
    </row>
    <row r="13" spans="1:12" x14ac:dyDescent="0.4">
      <c r="A13" s="49" t="s">
        <v>25</v>
      </c>
      <c r="B13" s="50">
        <v>22184</v>
      </c>
      <c r="C13" s="47">
        <f>8*32*100</f>
        <v>25600</v>
      </c>
      <c r="D13" s="52">
        <v>25697</v>
      </c>
      <c r="E13" s="47"/>
      <c r="F13" s="47"/>
      <c r="G13" s="47"/>
      <c r="H13" s="47"/>
      <c r="I13" s="47"/>
      <c r="J13" s="47"/>
      <c r="K13" s="47"/>
      <c r="L13" s="48"/>
    </row>
    <row r="14" spans="1:12" x14ac:dyDescent="0.4">
      <c r="A14" s="49" t="s">
        <v>26</v>
      </c>
      <c r="B14" s="50">
        <v>12566</v>
      </c>
      <c r="C14" s="47">
        <f>4*32*100</f>
        <v>12800</v>
      </c>
      <c r="D14" s="52">
        <v>12897</v>
      </c>
      <c r="E14" s="47"/>
      <c r="F14" s="47"/>
      <c r="G14" s="47"/>
      <c r="H14" s="47"/>
      <c r="I14" s="47"/>
      <c r="J14" s="47"/>
      <c r="K14" s="47"/>
      <c r="L14" s="48"/>
    </row>
    <row r="15" spans="1:12" x14ac:dyDescent="0.4">
      <c r="A15" s="49" t="s">
        <v>27</v>
      </c>
      <c r="B15" s="50">
        <v>6432</v>
      </c>
      <c r="C15" s="47">
        <f>2*32*100</f>
        <v>6400</v>
      </c>
      <c r="D15" s="52">
        <v>6497</v>
      </c>
      <c r="E15" s="47"/>
      <c r="F15" s="47"/>
      <c r="G15" s="47"/>
      <c r="H15" s="47"/>
      <c r="I15" s="47"/>
      <c r="J15" s="47"/>
      <c r="K15" s="47"/>
      <c r="L15" s="48"/>
    </row>
    <row r="16" spans="1:12" x14ac:dyDescent="0.4">
      <c r="A16" s="49" t="s">
        <v>28</v>
      </c>
      <c r="B16" s="50">
        <v>3255</v>
      </c>
      <c r="C16" s="53">
        <f>1*32*100</f>
        <v>3200</v>
      </c>
      <c r="D16" s="54">
        <v>3297</v>
      </c>
      <c r="E16" s="53"/>
      <c r="F16" s="53"/>
      <c r="G16" s="53"/>
      <c r="H16" s="53"/>
      <c r="I16" s="53"/>
      <c r="J16" s="53"/>
      <c r="K16" s="53"/>
      <c r="L16" s="48"/>
    </row>
    <row r="17" spans="1:12" x14ac:dyDescent="0.4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</row>
    <row r="18" spans="1:12" x14ac:dyDescent="0.4">
      <c r="A18" s="48"/>
      <c r="B18" s="55" t="s">
        <v>447</v>
      </c>
      <c r="C18" s="55" t="s">
        <v>450</v>
      </c>
      <c r="D18" s="55" t="s">
        <v>448</v>
      </c>
      <c r="E18" s="48" t="s">
        <v>189</v>
      </c>
      <c r="F18" s="48" t="s">
        <v>190</v>
      </c>
      <c r="G18" s="48"/>
      <c r="H18" s="48"/>
      <c r="I18" s="48"/>
      <c r="J18" s="48"/>
      <c r="K18" s="48"/>
      <c r="L18" s="48"/>
    </row>
    <row r="19" spans="1:12" x14ac:dyDescent="0.4">
      <c r="A19" t="s">
        <v>191</v>
      </c>
      <c r="B19">
        <v>28734</v>
      </c>
      <c r="C19">
        <f>3*32*400</f>
        <v>38400</v>
      </c>
      <c r="D19" s="3">
        <v>38494</v>
      </c>
      <c r="E19">
        <v>12986</v>
      </c>
      <c r="F19">
        <v>7690</v>
      </c>
    </row>
    <row r="20" spans="1:12" x14ac:dyDescent="0.4">
      <c r="A20" t="s">
        <v>195</v>
      </c>
      <c r="B20">
        <v>25574</v>
      </c>
      <c r="C20">
        <f>2*32*400</f>
        <v>25600</v>
      </c>
      <c r="D20" s="3">
        <v>25697</v>
      </c>
      <c r="E20">
        <v>12986</v>
      </c>
      <c r="F20">
        <v>7693</v>
      </c>
    </row>
    <row r="22" spans="1:12" x14ac:dyDescent="0.4">
      <c r="A22" t="s">
        <v>188</v>
      </c>
      <c r="B22">
        <v>31691</v>
      </c>
      <c r="C22">
        <f>8*32*200</f>
        <v>51200</v>
      </c>
      <c r="D22">
        <v>51293</v>
      </c>
      <c r="E22">
        <v>6586</v>
      </c>
      <c r="F22">
        <v>8176</v>
      </c>
    </row>
    <row r="23" spans="1:12" x14ac:dyDescent="0.4">
      <c r="A23" t="s">
        <v>187</v>
      </c>
      <c r="B23">
        <v>22871</v>
      </c>
      <c r="C23">
        <f>4*32*200</f>
        <v>25600</v>
      </c>
      <c r="D23">
        <v>25697</v>
      </c>
      <c r="E23">
        <v>6586</v>
      </c>
      <c r="F23">
        <v>8030</v>
      </c>
    </row>
    <row r="25" spans="1:12" x14ac:dyDescent="0.4">
      <c r="A25" t="s">
        <v>192</v>
      </c>
      <c r="B25">
        <v>16895</v>
      </c>
      <c r="C25">
        <f>16*32*50</f>
        <v>25600</v>
      </c>
      <c r="E25">
        <v>1786</v>
      </c>
      <c r="F25">
        <v>4416</v>
      </c>
    </row>
    <row r="26" spans="1:12" x14ac:dyDescent="0.4">
      <c r="A26" t="s">
        <v>193</v>
      </c>
      <c r="B26">
        <v>11467</v>
      </c>
      <c r="C26">
        <f>8*32*50</f>
        <v>12800</v>
      </c>
      <c r="E26">
        <v>1786</v>
      </c>
      <c r="F26">
        <v>4064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01"/>
  <sheetViews>
    <sheetView topLeftCell="N10" zoomScaleNormal="100" workbookViewId="0">
      <selection activeCell="N99" sqref="N99"/>
    </sheetView>
  </sheetViews>
  <sheetFormatPr defaultRowHeight="18.75" x14ac:dyDescent="0.4"/>
  <cols>
    <col min="5" max="5" width="9" customWidth="1"/>
  </cols>
  <sheetData>
    <row r="1" spans="1:38" x14ac:dyDescent="0.4">
      <c r="A1" t="s">
        <v>10</v>
      </c>
      <c r="B1">
        <v>43</v>
      </c>
      <c r="C1">
        <v>35</v>
      </c>
      <c r="D1">
        <v>40</v>
      </c>
      <c r="E1">
        <v>30</v>
      </c>
      <c r="F1">
        <v>25</v>
      </c>
      <c r="G1">
        <v>20</v>
      </c>
      <c r="L1" t="s">
        <v>11</v>
      </c>
      <c r="M1" s="1">
        <v>0.40625</v>
      </c>
      <c r="N1" s="1">
        <v>0.40972222222222221</v>
      </c>
      <c r="O1" s="1">
        <v>3.8194444444444448E-2</v>
      </c>
      <c r="P1" s="1">
        <v>0.39930555555555558</v>
      </c>
      <c r="R1" s="1">
        <v>0.39583333333333331</v>
      </c>
      <c r="U1" s="1">
        <v>0.39583333333333331</v>
      </c>
      <c r="V1" t="s">
        <v>19</v>
      </c>
      <c r="Z1" s="1">
        <v>0.375</v>
      </c>
      <c r="AB1" t="s">
        <v>21</v>
      </c>
      <c r="AH1" t="s">
        <v>22</v>
      </c>
      <c r="AI1" s="1">
        <v>1.7361111111111112E-2</v>
      </c>
      <c r="AJ1" s="1">
        <v>0.40625</v>
      </c>
      <c r="AK1" s="1">
        <v>0.39930555555555558</v>
      </c>
    </row>
    <row r="2" spans="1:38" x14ac:dyDescent="0.4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L2" t="s">
        <v>17</v>
      </c>
      <c r="M2" t="s">
        <v>0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T2" t="s">
        <v>18</v>
      </c>
      <c r="U2" t="s">
        <v>0</v>
      </c>
      <c r="V2" t="s">
        <v>1</v>
      </c>
      <c r="W2" t="s">
        <v>2</v>
      </c>
      <c r="X2" t="s">
        <v>3</v>
      </c>
      <c r="Y2" t="s">
        <v>4</v>
      </c>
      <c r="Z2" t="s">
        <v>5</v>
      </c>
      <c r="AA2" t="s">
        <v>12</v>
      </c>
      <c r="AB2" t="s">
        <v>17</v>
      </c>
      <c r="AC2" t="s">
        <v>13</v>
      </c>
      <c r="AD2" t="s">
        <v>14</v>
      </c>
      <c r="AE2" t="s">
        <v>15</v>
      </c>
      <c r="AF2" t="s">
        <v>16</v>
      </c>
      <c r="AH2" t="s">
        <v>20</v>
      </c>
      <c r="AI2" t="s">
        <v>13</v>
      </c>
      <c r="AJ2" t="s">
        <v>14</v>
      </c>
      <c r="AK2" t="s">
        <v>15</v>
      </c>
      <c r="AL2" t="s">
        <v>16</v>
      </c>
    </row>
    <row r="3" spans="1:38" x14ac:dyDescent="0.4">
      <c r="A3">
        <v>0</v>
      </c>
      <c r="B3">
        <v>1.514</v>
      </c>
      <c r="C3">
        <v>1.512</v>
      </c>
      <c r="D3">
        <v>1.502</v>
      </c>
      <c r="E3">
        <v>1.512</v>
      </c>
      <c r="F3">
        <v>1.5089999999999999</v>
      </c>
      <c r="G3">
        <v>1.512</v>
      </c>
      <c r="L3">
        <v>0</v>
      </c>
      <c r="M3">
        <v>1.952</v>
      </c>
      <c r="N3">
        <v>1.879</v>
      </c>
      <c r="O3">
        <v>1.7929999999999999</v>
      </c>
      <c r="P3">
        <v>1.7050000000000001</v>
      </c>
      <c r="Q3">
        <v>1.6659999999999999</v>
      </c>
      <c r="R3">
        <v>1.659</v>
      </c>
      <c r="T3">
        <v>0</v>
      </c>
      <c r="U3">
        <v>1.911</v>
      </c>
      <c r="V3">
        <v>1.833</v>
      </c>
      <c r="W3">
        <v>1.736</v>
      </c>
      <c r="X3">
        <v>1.645</v>
      </c>
      <c r="Y3">
        <v>1.607</v>
      </c>
      <c r="Z3">
        <v>1.585</v>
      </c>
      <c r="AB3">
        <v>0</v>
      </c>
      <c r="AH3">
        <v>0</v>
      </c>
      <c r="AI3">
        <v>2.4350000000000001</v>
      </c>
      <c r="AJ3">
        <v>2.347</v>
      </c>
      <c r="AK3">
        <v>2.2069999999999999</v>
      </c>
      <c r="AL3">
        <v>2.0510000000000002</v>
      </c>
    </row>
    <row r="4" spans="1:38" x14ac:dyDescent="0.4">
      <c r="A4">
        <v>0</v>
      </c>
      <c r="B4">
        <v>1.514</v>
      </c>
      <c r="C4">
        <v>1.512</v>
      </c>
      <c r="D4">
        <v>1.522</v>
      </c>
      <c r="E4">
        <v>1.522</v>
      </c>
      <c r="F4">
        <v>1.5089999999999999</v>
      </c>
      <c r="G4">
        <v>1.512</v>
      </c>
      <c r="L4">
        <v>0</v>
      </c>
      <c r="M4">
        <v>1.9650000000000001</v>
      </c>
      <c r="N4">
        <v>1.879</v>
      </c>
      <c r="O4">
        <v>1.8009999999999999</v>
      </c>
      <c r="P4">
        <v>1.7050000000000001</v>
      </c>
      <c r="Q4">
        <v>1.653</v>
      </c>
      <c r="R4">
        <v>1.649</v>
      </c>
      <c r="T4">
        <v>0</v>
      </c>
      <c r="U4">
        <v>1.911</v>
      </c>
      <c r="V4">
        <v>1.833</v>
      </c>
      <c r="W4">
        <v>1.736</v>
      </c>
      <c r="X4">
        <v>1.645</v>
      </c>
      <c r="Y4">
        <v>1.607</v>
      </c>
      <c r="Z4">
        <v>1.585</v>
      </c>
      <c r="AB4">
        <v>0</v>
      </c>
      <c r="AH4">
        <v>0</v>
      </c>
      <c r="AI4">
        <v>2.4300000000000002</v>
      </c>
      <c r="AJ4">
        <v>2.347</v>
      </c>
      <c r="AK4">
        <v>2.2069999999999999</v>
      </c>
      <c r="AL4">
        <v>2.0640000000000001</v>
      </c>
    </row>
    <row r="5" spans="1:38" x14ac:dyDescent="0.4">
      <c r="A5">
        <v>1</v>
      </c>
      <c r="B5">
        <v>1.514</v>
      </c>
      <c r="C5">
        <v>1.512</v>
      </c>
      <c r="D5">
        <v>1.522</v>
      </c>
      <c r="E5">
        <v>1.522</v>
      </c>
      <c r="F5">
        <v>1.502</v>
      </c>
      <c r="G5">
        <v>1.512</v>
      </c>
      <c r="L5">
        <v>1</v>
      </c>
      <c r="M5">
        <v>1.962</v>
      </c>
      <c r="N5">
        <v>1.879</v>
      </c>
      <c r="O5">
        <v>1.796</v>
      </c>
      <c r="P5">
        <v>1.702</v>
      </c>
      <c r="Q5">
        <v>1.6659999999999999</v>
      </c>
      <c r="R5">
        <v>1.649</v>
      </c>
      <c r="T5">
        <v>1</v>
      </c>
      <c r="U5">
        <v>1.911</v>
      </c>
      <c r="V5">
        <v>1.833</v>
      </c>
      <c r="W5">
        <v>1.736</v>
      </c>
      <c r="X5">
        <v>1.6479999999999999</v>
      </c>
      <c r="Y5">
        <v>1.615</v>
      </c>
      <c r="Z5">
        <v>1.595</v>
      </c>
      <c r="AB5">
        <v>1</v>
      </c>
      <c r="AH5">
        <v>1</v>
      </c>
      <c r="AI5">
        <v>2.4300000000000002</v>
      </c>
      <c r="AJ5">
        <v>2.347</v>
      </c>
      <c r="AK5">
        <v>2.2109999999999999</v>
      </c>
      <c r="AL5">
        <v>2.0640000000000001</v>
      </c>
    </row>
    <row r="6" spans="1:38" x14ac:dyDescent="0.4">
      <c r="A6">
        <v>1</v>
      </c>
      <c r="B6">
        <v>1.504</v>
      </c>
      <c r="C6">
        <v>1.5189999999999999</v>
      </c>
      <c r="D6">
        <v>1.502</v>
      </c>
      <c r="E6">
        <v>1.512</v>
      </c>
      <c r="F6">
        <v>1.502</v>
      </c>
      <c r="G6">
        <v>1.512</v>
      </c>
      <c r="L6">
        <v>1</v>
      </c>
      <c r="M6">
        <v>1.9650000000000001</v>
      </c>
      <c r="N6">
        <v>1.8859999999999999</v>
      </c>
      <c r="O6">
        <v>1.8009999999999999</v>
      </c>
      <c r="P6">
        <v>1.7150000000000001</v>
      </c>
      <c r="Q6">
        <v>1.6659999999999999</v>
      </c>
      <c r="R6">
        <v>1.6559999999999999</v>
      </c>
      <c r="T6">
        <v>1</v>
      </c>
      <c r="U6">
        <v>1.9159999999999999</v>
      </c>
      <c r="V6">
        <v>1.833</v>
      </c>
      <c r="W6">
        <v>1.736</v>
      </c>
      <c r="X6">
        <v>1.6479999999999999</v>
      </c>
      <c r="Y6">
        <v>1.615</v>
      </c>
      <c r="Z6">
        <v>1.595</v>
      </c>
      <c r="AB6">
        <v>1</v>
      </c>
      <c r="AH6">
        <v>1</v>
      </c>
      <c r="AI6">
        <v>2.44</v>
      </c>
      <c r="AJ6">
        <v>2.347</v>
      </c>
      <c r="AK6">
        <v>2.1970000000000001</v>
      </c>
      <c r="AL6">
        <v>2.0640000000000001</v>
      </c>
    </row>
    <row r="7" spans="1:38" x14ac:dyDescent="0.4">
      <c r="A7">
        <v>2</v>
      </c>
      <c r="B7">
        <v>1.504</v>
      </c>
      <c r="C7">
        <v>1.5189999999999999</v>
      </c>
      <c r="D7">
        <v>1.512</v>
      </c>
      <c r="E7">
        <v>1.512</v>
      </c>
      <c r="F7">
        <v>1.502</v>
      </c>
      <c r="G7">
        <v>1.512</v>
      </c>
      <c r="L7">
        <v>2</v>
      </c>
      <c r="M7">
        <v>1.9750000000000001</v>
      </c>
      <c r="N7">
        <v>1.889</v>
      </c>
      <c r="O7">
        <v>1.8009999999999999</v>
      </c>
      <c r="P7">
        <v>1.7050000000000001</v>
      </c>
      <c r="Q7">
        <v>1.6559999999999999</v>
      </c>
      <c r="R7">
        <v>1.6559999999999999</v>
      </c>
      <c r="T7">
        <v>2</v>
      </c>
      <c r="U7">
        <v>1.9159999999999999</v>
      </c>
      <c r="V7">
        <v>1.833</v>
      </c>
      <c r="W7">
        <v>1.736</v>
      </c>
      <c r="X7">
        <v>1.6479999999999999</v>
      </c>
      <c r="Y7">
        <v>1.615</v>
      </c>
      <c r="Z7">
        <v>1.585</v>
      </c>
      <c r="AB7">
        <v>2</v>
      </c>
      <c r="AH7">
        <v>2</v>
      </c>
      <c r="AI7">
        <v>2.4449999999999998</v>
      </c>
      <c r="AJ7">
        <v>2.347</v>
      </c>
      <c r="AK7">
        <v>2.2109999999999999</v>
      </c>
      <c r="AL7">
        <v>2.0609999999999999</v>
      </c>
    </row>
    <row r="8" spans="1:38" x14ac:dyDescent="0.4">
      <c r="A8">
        <v>2</v>
      </c>
      <c r="B8">
        <v>1.504</v>
      </c>
      <c r="C8">
        <v>1.5089999999999999</v>
      </c>
      <c r="D8">
        <v>1.5089999999999999</v>
      </c>
      <c r="E8">
        <v>1.4990000000000001</v>
      </c>
      <c r="F8">
        <v>1.502</v>
      </c>
      <c r="G8">
        <v>1.512</v>
      </c>
      <c r="L8">
        <v>2</v>
      </c>
      <c r="M8">
        <v>1.982</v>
      </c>
      <c r="N8">
        <v>1.89</v>
      </c>
      <c r="O8">
        <v>1.8959999999999999</v>
      </c>
      <c r="P8">
        <v>1.702</v>
      </c>
      <c r="Q8">
        <v>1.6659999999999999</v>
      </c>
      <c r="R8">
        <v>1.6659999999999999</v>
      </c>
      <c r="T8">
        <v>2</v>
      </c>
      <c r="U8">
        <v>1.9159999999999999</v>
      </c>
      <c r="V8">
        <v>1.833</v>
      </c>
      <c r="W8">
        <v>1.736</v>
      </c>
      <c r="X8">
        <v>1.6479999999999999</v>
      </c>
      <c r="Y8">
        <v>1.615</v>
      </c>
      <c r="Z8">
        <v>1.585</v>
      </c>
      <c r="AB8">
        <v>2</v>
      </c>
      <c r="AH8">
        <v>2</v>
      </c>
      <c r="AI8">
        <v>2.4300000000000002</v>
      </c>
      <c r="AJ8">
        <v>2.347</v>
      </c>
      <c r="AK8">
        <v>2.2109999999999999</v>
      </c>
      <c r="AL8">
        <v>2.0640000000000001</v>
      </c>
    </row>
    <row r="9" spans="1:38" x14ac:dyDescent="0.4">
      <c r="A9">
        <v>3</v>
      </c>
      <c r="B9">
        <v>1.504</v>
      </c>
      <c r="C9">
        <v>1.512</v>
      </c>
      <c r="D9">
        <v>1.5089999999999999</v>
      </c>
      <c r="E9">
        <v>1.4990000000000001</v>
      </c>
      <c r="F9">
        <v>1.512</v>
      </c>
      <c r="G9">
        <v>1.5089999999999999</v>
      </c>
      <c r="L9">
        <v>3</v>
      </c>
      <c r="M9">
        <v>1.9550000000000001</v>
      </c>
      <c r="N9">
        <v>1.889</v>
      </c>
      <c r="O9">
        <v>1.798</v>
      </c>
      <c r="P9">
        <v>1.712</v>
      </c>
      <c r="Q9">
        <v>1.6559999999999999</v>
      </c>
      <c r="R9">
        <v>1.6559999999999999</v>
      </c>
      <c r="T9">
        <v>3</v>
      </c>
      <c r="U9">
        <v>1.9159999999999999</v>
      </c>
      <c r="V9">
        <v>1.833</v>
      </c>
      <c r="W9">
        <v>1.736</v>
      </c>
      <c r="X9">
        <v>1.6479999999999999</v>
      </c>
      <c r="Y9">
        <v>1.605</v>
      </c>
      <c r="Z9">
        <v>1.585</v>
      </c>
      <c r="AB9">
        <v>3</v>
      </c>
      <c r="AH9">
        <v>3</v>
      </c>
      <c r="AI9">
        <v>2.44</v>
      </c>
      <c r="AJ9">
        <v>2.343</v>
      </c>
      <c r="AK9">
        <v>2.2000000000000002</v>
      </c>
      <c r="AL9">
        <v>2.0640000000000001</v>
      </c>
    </row>
    <row r="10" spans="1:38" x14ac:dyDescent="0.4">
      <c r="A10">
        <v>3</v>
      </c>
      <c r="B10">
        <v>1.512</v>
      </c>
      <c r="C10">
        <v>1.512</v>
      </c>
      <c r="D10">
        <v>1.4990000000000001</v>
      </c>
      <c r="E10">
        <v>1.512</v>
      </c>
      <c r="F10">
        <v>1.5089999999999999</v>
      </c>
      <c r="G10">
        <v>1.512</v>
      </c>
      <c r="L10">
        <v>3</v>
      </c>
      <c r="M10">
        <v>1.9650000000000001</v>
      </c>
      <c r="N10">
        <v>1.8959999999999999</v>
      </c>
      <c r="O10">
        <v>1.8009999999999999</v>
      </c>
      <c r="P10">
        <v>1.712</v>
      </c>
      <c r="Q10">
        <v>1.6659999999999999</v>
      </c>
      <c r="R10">
        <v>1.6559999999999999</v>
      </c>
      <c r="T10">
        <v>3</v>
      </c>
      <c r="U10">
        <v>1.9159999999999999</v>
      </c>
      <c r="V10">
        <v>1.823</v>
      </c>
      <c r="W10">
        <v>1.736</v>
      </c>
      <c r="X10">
        <v>1.6479999999999999</v>
      </c>
      <c r="Y10">
        <v>1.605</v>
      </c>
      <c r="Z10">
        <v>1.585</v>
      </c>
      <c r="AB10">
        <v>3</v>
      </c>
      <c r="AH10">
        <v>3</v>
      </c>
      <c r="AI10">
        <v>2.4550000000000001</v>
      </c>
      <c r="AJ10">
        <v>2.3519999999999999</v>
      </c>
      <c r="AK10">
        <v>2.2109999999999999</v>
      </c>
      <c r="AL10">
        <v>2.0640000000000001</v>
      </c>
    </row>
    <row r="11" spans="1:38" x14ac:dyDescent="0.4">
      <c r="A11">
        <v>4</v>
      </c>
      <c r="B11">
        <v>1.504</v>
      </c>
      <c r="C11">
        <v>1.4990000000000001</v>
      </c>
      <c r="D11">
        <v>1.512</v>
      </c>
      <c r="E11">
        <v>1.512</v>
      </c>
      <c r="F11">
        <v>1.512</v>
      </c>
      <c r="G11">
        <v>1.512</v>
      </c>
      <c r="L11">
        <v>4</v>
      </c>
      <c r="M11">
        <v>1.9650000000000001</v>
      </c>
      <c r="N11">
        <v>1.889</v>
      </c>
      <c r="O11">
        <v>1.8009999999999999</v>
      </c>
      <c r="P11">
        <v>1.7050000000000001</v>
      </c>
      <c r="Q11">
        <v>1.6559999999999999</v>
      </c>
      <c r="R11">
        <v>1.6459999999999999</v>
      </c>
      <c r="T11">
        <v>4</v>
      </c>
      <c r="U11">
        <v>1.9159999999999999</v>
      </c>
      <c r="V11">
        <v>1.823</v>
      </c>
      <c r="W11">
        <v>1.736</v>
      </c>
      <c r="X11">
        <v>1.645</v>
      </c>
      <c r="Y11">
        <v>1.605</v>
      </c>
      <c r="Z11">
        <v>1.585</v>
      </c>
      <c r="AB11">
        <v>4</v>
      </c>
      <c r="AH11">
        <v>4</v>
      </c>
      <c r="AI11">
        <v>2.4550000000000001</v>
      </c>
      <c r="AJ11">
        <v>2.339</v>
      </c>
      <c r="AK11">
        <v>2.2109999999999999</v>
      </c>
      <c r="AL11">
        <v>2.0609999999999999</v>
      </c>
    </row>
    <row r="12" spans="1:38" x14ac:dyDescent="0.4">
      <c r="A12">
        <v>4</v>
      </c>
      <c r="B12">
        <v>1.504</v>
      </c>
      <c r="C12">
        <v>1.512</v>
      </c>
      <c r="D12">
        <v>1.512</v>
      </c>
      <c r="E12">
        <v>1.512</v>
      </c>
      <c r="F12">
        <v>1.502</v>
      </c>
      <c r="G12">
        <v>1.512</v>
      </c>
      <c r="L12">
        <v>4</v>
      </c>
      <c r="M12">
        <v>1.9650000000000001</v>
      </c>
      <c r="N12">
        <v>1.889</v>
      </c>
      <c r="O12">
        <v>1.8009999999999999</v>
      </c>
      <c r="P12">
        <v>1.7050000000000001</v>
      </c>
      <c r="Q12">
        <v>1.6559999999999999</v>
      </c>
      <c r="R12">
        <v>1.6559999999999999</v>
      </c>
      <c r="T12">
        <v>4</v>
      </c>
      <c r="U12">
        <v>1.9159999999999999</v>
      </c>
      <c r="V12">
        <v>1.833</v>
      </c>
      <c r="W12">
        <v>1.736</v>
      </c>
      <c r="X12">
        <v>1.645</v>
      </c>
      <c r="Y12">
        <v>1.605</v>
      </c>
      <c r="Z12">
        <v>1.585</v>
      </c>
      <c r="AB12">
        <v>4</v>
      </c>
      <c r="AH12">
        <v>4</v>
      </c>
      <c r="AI12">
        <v>2.4449999999999998</v>
      </c>
      <c r="AJ12">
        <v>2.339</v>
      </c>
      <c r="AK12">
        <v>2.2109999999999999</v>
      </c>
      <c r="AL12">
        <v>2.0609999999999999</v>
      </c>
    </row>
    <row r="13" spans="1:38" x14ac:dyDescent="0.4">
      <c r="A13">
        <v>5</v>
      </c>
      <c r="B13">
        <v>1.504</v>
      </c>
      <c r="C13">
        <v>1.512</v>
      </c>
      <c r="D13">
        <v>1.5089999999999999</v>
      </c>
      <c r="E13">
        <v>1.512</v>
      </c>
      <c r="F13">
        <v>1.502</v>
      </c>
      <c r="G13">
        <v>1.502</v>
      </c>
      <c r="L13">
        <v>5</v>
      </c>
      <c r="M13">
        <v>1.9750000000000001</v>
      </c>
      <c r="N13">
        <v>1.8859999999999999</v>
      </c>
      <c r="O13">
        <v>1.798</v>
      </c>
      <c r="P13">
        <v>1.7050000000000001</v>
      </c>
      <c r="Q13">
        <v>1.6559999999999999</v>
      </c>
      <c r="R13">
        <v>1.6459999999999999</v>
      </c>
      <c r="T13">
        <v>5</v>
      </c>
      <c r="U13">
        <v>1.911</v>
      </c>
      <c r="V13">
        <v>1.833</v>
      </c>
      <c r="W13">
        <v>1.736</v>
      </c>
      <c r="X13">
        <v>1.6479999999999999</v>
      </c>
      <c r="Y13">
        <v>1.605</v>
      </c>
      <c r="Z13">
        <v>1.585</v>
      </c>
      <c r="AB13">
        <v>5</v>
      </c>
      <c r="AH13">
        <v>5</v>
      </c>
      <c r="AI13">
        <v>2.44</v>
      </c>
      <c r="AJ13">
        <v>2.3330000000000002</v>
      </c>
      <c r="AK13">
        <v>2.2000000000000002</v>
      </c>
      <c r="AL13">
        <v>2.0510000000000002</v>
      </c>
    </row>
    <row r="14" spans="1:38" x14ac:dyDescent="0.4">
      <c r="A14">
        <v>5</v>
      </c>
      <c r="B14">
        <v>1.504</v>
      </c>
      <c r="C14">
        <v>1.512</v>
      </c>
      <c r="D14">
        <v>1.5089999999999999</v>
      </c>
      <c r="E14">
        <v>1.512</v>
      </c>
      <c r="F14">
        <v>1.5089999999999999</v>
      </c>
      <c r="G14">
        <v>1.5249999999999999</v>
      </c>
      <c r="L14">
        <v>5</v>
      </c>
      <c r="M14">
        <v>1.9650000000000001</v>
      </c>
      <c r="N14">
        <v>1.8859999999999999</v>
      </c>
      <c r="O14">
        <v>1.796</v>
      </c>
      <c r="P14">
        <v>1.702</v>
      </c>
      <c r="Q14">
        <v>1.6659999999999999</v>
      </c>
      <c r="R14">
        <v>1.6459999999999999</v>
      </c>
      <c r="T14">
        <v>5</v>
      </c>
      <c r="U14">
        <v>1.911</v>
      </c>
      <c r="V14">
        <v>1.833</v>
      </c>
      <c r="W14">
        <v>1.736</v>
      </c>
      <c r="X14">
        <v>1.6479999999999999</v>
      </c>
      <c r="Y14">
        <v>1.605</v>
      </c>
      <c r="Z14">
        <v>1.585</v>
      </c>
      <c r="AB14">
        <v>5</v>
      </c>
      <c r="AH14">
        <v>5</v>
      </c>
      <c r="AI14">
        <v>2.44</v>
      </c>
      <c r="AJ14">
        <v>2.3479999999999999</v>
      </c>
      <c r="AK14">
        <v>2.2000000000000002</v>
      </c>
      <c r="AL14">
        <v>2.0510000000000002</v>
      </c>
    </row>
    <row r="15" spans="1:38" x14ac:dyDescent="0.4">
      <c r="A15">
        <v>6</v>
      </c>
      <c r="B15">
        <v>1.514</v>
      </c>
      <c r="C15">
        <v>1.512</v>
      </c>
      <c r="D15">
        <v>1.502</v>
      </c>
      <c r="E15">
        <v>1.5089999999999999</v>
      </c>
      <c r="F15">
        <v>1.512</v>
      </c>
      <c r="G15">
        <v>1.512</v>
      </c>
      <c r="L15">
        <v>6</v>
      </c>
      <c r="M15">
        <v>1.9650000000000001</v>
      </c>
      <c r="N15">
        <v>1.889</v>
      </c>
      <c r="O15">
        <v>1.8009999999999999</v>
      </c>
      <c r="P15">
        <v>1.7050000000000001</v>
      </c>
      <c r="Q15">
        <v>1.6659999999999999</v>
      </c>
      <c r="R15">
        <v>1.6559999999999999</v>
      </c>
      <c r="T15">
        <v>6</v>
      </c>
      <c r="U15">
        <v>1.9159999999999999</v>
      </c>
      <c r="V15">
        <v>1.833</v>
      </c>
      <c r="W15">
        <v>1.736</v>
      </c>
      <c r="X15">
        <v>1.645</v>
      </c>
      <c r="Y15">
        <v>1.607</v>
      </c>
      <c r="Z15">
        <v>1.585</v>
      </c>
      <c r="AB15">
        <v>6</v>
      </c>
      <c r="AH15">
        <v>6</v>
      </c>
      <c r="AI15">
        <v>2.4300000000000002</v>
      </c>
      <c r="AJ15">
        <v>2.3479999999999999</v>
      </c>
      <c r="AK15">
        <v>2.2109999999999999</v>
      </c>
      <c r="AL15">
        <v>2.0510000000000002</v>
      </c>
    </row>
    <row r="16" spans="1:38" x14ac:dyDescent="0.4">
      <c r="A16">
        <v>6</v>
      </c>
      <c r="B16">
        <v>1.504</v>
      </c>
      <c r="C16">
        <v>1.512</v>
      </c>
      <c r="D16">
        <v>1.4990000000000001</v>
      </c>
      <c r="E16">
        <v>1.512</v>
      </c>
      <c r="F16">
        <v>1.512</v>
      </c>
      <c r="G16">
        <v>1.512</v>
      </c>
      <c r="L16">
        <v>6</v>
      </c>
      <c r="M16">
        <v>1.9650000000000001</v>
      </c>
      <c r="N16">
        <v>1.889</v>
      </c>
      <c r="O16">
        <v>1.7929999999999999</v>
      </c>
      <c r="P16">
        <v>1.712</v>
      </c>
      <c r="Q16">
        <v>1.6659999999999999</v>
      </c>
      <c r="R16">
        <v>1.6559999999999999</v>
      </c>
      <c r="T16">
        <v>6</v>
      </c>
      <c r="U16">
        <v>1.9159999999999999</v>
      </c>
      <c r="V16">
        <v>1.833</v>
      </c>
      <c r="W16">
        <v>1.736</v>
      </c>
      <c r="X16">
        <v>1.645</v>
      </c>
      <c r="Y16">
        <v>1.617</v>
      </c>
      <c r="Z16">
        <v>1.585</v>
      </c>
      <c r="AB16">
        <v>6</v>
      </c>
      <c r="AH16">
        <v>6</v>
      </c>
      <c r="AI16">
        <v>2.4239999999999999</v>
      </c>
      <c r="AJ16">
        <v>2.3479999999999999</v>
      </c>
      <c r="AK16">
        <v>2.2000000000000002</v>
      </c>
      <c r="AL16">
        <v>2.0510000000000002</v>
      </c>
    </row>
    <row r="17" spans="1:38" x14ac:dyDescent="0.4">
      <c r="A17">
        <v>7</v>
      </c>
      <c r="B17">
        <v>1.5009999999999999</v>
      </c>
      <c r="C17">
        <v>1.512</v>
      </c>
      <c r="D17">
        <v>1.502</v>
      </c>
      <c r="E17">
        <v>1.5089999999999999</v>
      </c>
      <c r="F17">
        <v>1.512</v>
      </c>
      <c r="G17">
        <v>1.512</v>
      </c>
      <c r="L17">
        <v>7</v>
      </c>
      <c r="M17">
        <v>1.972</v>
      </c>
      <c r="N17">
        <v>1.879</v>
      </c>
      <c r="O17">
        <v>1.796</v>
      </c>
      <c r="P17">
        <v>1.7050000000000001</v>
      </c>
      <c r="Q17">
        <v>1.6559999999999999</v>
      </c>
      <c r="R17">
        <v>1.6459999999999999</v>
      </c>
      <c r="T17">
        <v>7</v>
      </c>
      <c r="U17">
        <v>1.9159999999999999</v>
      </c>
      <c r="V17">
        <v>1.833</v>
      </c>
      <c r="W17">
        <v>1.736</v>
      </c>
      <c r="X17">
        <v>1.6479999999999999</v>
      </c>
      <c r="Y17">
        <v>1.607</v>
      </c>
      <c r="Z17">
        <v>1.585</v>
      </c>
      <c r="AB17">
        <v>7</v>
      </c>
      <c r="AH17">
        <v>7</v>
      </c>
      <c r="AI17">
        <v>2.4350000000000001</v>
      </c>
      <c r="AJ17">
        <v>2.343</v>
      </c>
      <c r="AK17">
        <v>2.2000000000000002</v>
      </c>
      <c r="AL17">
        <v>2.0510000000000002</v>
      </c>
    </row>
    <row r="18" spans="1:38" x14ac:dyDescent="0.4">
      <c r="A18">
        <v>7</v>
      </c>
      <c r="B18">
        <v>1.504</v>
      </c>
      <c r="C18">
        <v>1.502</v>
      </c>
      <c r="D18">
        <v>1.502</v>
      </c>
      <c r="E18">
        <v>1.512</v>
      </c>
      <c r="F18">
        <v>1.512</v>
      </c>
      <c r="G18">
        <v>1.502</v>
      </c>
      <c r="L18">
        <v>7</v>
      </c>
      <c r="M18">
        <v>1.952</v>
      </c>
      <c r="N18">
        <v>1.879</v>
      </c>
      <c r="O18">
        <v>1.796</v>
      </c>
      <c r="P18">
        <v>1.7050000000000001</v>
      </c>
      <c r="Q18">
        <v>1.6659999999999999</v>
      </c>
      <c r="R18">
        <v>1.6459999999999999</v>
      </c>
      <c r="T18">
        <v>7</v>
      </c>
      <c r="U18">
        <v>1.9159999999999999</v>
      </c>
      <c r="V18">
        <v>1.833</v>
      </c>
      <c r="W18">
        <v>1.736</v>
      </c>
      <c r="X18">
        <v>1.6479999999999999</v>
      </c>
      <c r="Y18">
        <v>1.617</v>
      </c>
      <c r="Z18">
        <v>1.585</v>
      </c>
      <c r="AB18">
        <v>7</v>
      </c>
      <c r="AH18">
        <v>7</v>
      </c>
      <c r="AI18">
        <v>2.4350000000000001</v>
      </c>
      <c r="AJ18">
        <v>2.343</v>
      </c>
      <c r="AK18">
        <v>2.2109999999999999</v>
      </c>
      <c r="AL18">
        <v>2.0640000000000001</v>
      </c>
    </row>
    <row r="19" spans="1:38" x14ac:dyDescent="0.4">
      <c r="A19">
        <v>8</v>
      </c>
      <c r="B19">
        <v>1.504</v>
      </c>
      <c r="C19">
        <v>1.502</v>
      </c>
      <c r="D19">
        <v>1.512</v>
      </c>
      <c r="E19">
        <v>1.512</v>
      </c>
      <c r="F19">
        <v>1.542</v>
      </c>
      <c r="G19">
        <v>1.5089999999999999</v>
      </c>
      <c r="L19">
        <v>8</v>
      </c>
      <c r="M19">
        <v>1.9650000000000001</v>
      </c>
      <c r="N19">
        <v>1.889</v>
      </c>
      <c r="O19">
        <v>1.796</v>
      </c>
      <c r="P19">
        <v>1.702</v>
      </c>
      <c r="Q19">
        <v>1.6659999999999999</v>
      </c>
      <c r="R19">
        <v>1.6459999999999999</v>
      </c>
      <c r="T19">
        <v>8</v>
      </c>
      <c r="U19">
        <v>1.911</v>
      </c>
      <c r="V19">
        <v>1.833</v>
      </c>
      <c r="W19">
        <v>1.736</v>
      </c>
      <c r="X19">
        <v>1.6579999999999999</v>
      </c>
      <c r="Y19">
        <v>1.607</v>
      </c>
      <c r="Z19">
        <v>1.585</v>
      </c>
      <c r="AB19">
        <v>8</v>
      </c>
      <c r="AH19">
        <v>8</v>
      </c>
      <c r="AI19">
        <v>2.4350000000000001</v>
      </c>
      <c r="AJ19">
        <v>2.343</v>
      </c>
      <c r="AK19">
        <v>2.2170000000000001</v>
      </c>
      <c r="AL19">
        <v>2.0640000000000001</v>
      </c>
    </row>
    <row r="20" spans="1:38" x14ac:dyDescent="0.4">
      <c r="A20">
        <v>8</v>
      </c>
      <c r="B20">
        <v>1.504</v>
      </c>
      <c r="C20">
        <v>1.512</v>
      </c>
      <c r="D20">
        <v>1.512</v>
      </c>
      <c r="E20">
        <v>1.522</v>
      </c>
      <c r="F20">
        <v>1.512</v>
      </c>
      <c r="G20">
        <v>1.5089999999999999</v>
      </c>
      <c r="L20">
        <v>8</v>
      </c>
      <c r="M20">
        <v>1.972</v>
      </c>
      <c r="N20">
        <v>1.899</v>
      </c>
      <c r="O20">
        <v>1.8009999999999999</v>
      </c>
      <c r="P20">
        <v>1.7150000000000001</v>
      </c>
      <c r="Q20">
        <v>1.6559999999999999</v>
      </c>
      <c r="R20">
        <v>1.6559999999999999</v>
      </c>
      <c r="T20">
        <v>8</v>
      </c>
      <c r="U20">
        <v>1.911</v>
      </c>
      <c r="V20">
        <v>1.833</v>
      </c>
      <c r="W20">
        <v>1.736</v>
      </c>
      <c r="X20">
        <v>1.6579999999999999</v>
      </c>
      <c r="Y20">
        <v>1.607</v>
      </c>
      <c r="Z20">
        <v>1.585</v>
      </c>
      <c r="AB20">
        <v>8</v>
      </c>
      <c r="AH20">
        <v>8</v>
      </c>
      <c r="AI20">
        <v>2.4350000000000001</v>
      </c>
      <c r="AJ20">
        <v>2.343</v>
      </c>
      <c r="AK20">
        <v>2.2109999999999999</v>
      </c>
      <c r="AL20">
        <v>2.0640000000000001</v>
      </c>
    </row>
    <row r="21" spans="1:38" x14ac:dyDescent="0.4">
      <c r="A21">
        <v>9</v>
      </c>
      <c r="B21">
        <v>1.504</v>
      </c>
      <c r="C21">
        <v>1.522</v>
      </c>
      <c r="D21">
        <v>1.512</v>
      </c>
      <c r="E21">
        <v>1.522</v>
      </c>
      <c r="F21">
        <v>1.512</v>
      </c>
      <c r="G21">
        <v>1.512</v>
      </c>
      <c r="L21">
        <v>9</v>
      </c>
      <c r="M21">
        <v>1.972</v>
      </c>
      <c r="N21">
        <v>1.889</v>
      </c>
      <c r="O21">
        <v>1.8009999999999999</v>
      </c>
      <c r="P21">
        <v>1.7050000000000001</v>
      </c>
      <c r="Q21">
        <v>1.6559999999999999</v>
      </c>
      <c r="R21">
        <v>1.6559999999999999</v>
      </c>
      <c r="T21">
        <v>9</v>
      </c>
      <c r="U21">
        <v>1.911</v>
      </c>
      <c r="V21">
        <v>1.833</v>
      </c>
      <c r="W21">
        <v>1.736</v>
      </c>
      <c r="X21">
        <v>1.645</v>
      </c>
      <c r="Y21">
        <v>1.607</v>
      </c>
      <c r="Z21">
        <v>1.585</v>
      </c>
      <c r="AB21">
        <v>9</v>
      </c>
      <c r="AH21">
        <v>9</v>
      </c>
      <c r="AI21">
        <v>2.4350000000000001</v>
      </c>
      <c r="AJ21">
        <v>2.343</v>
      </c>
      <c r="AK21">
        <v>2.2000000000000002</v>
      </c>
      <c r="AL21">
        <v>2.0640000000000001</v>
      </c>
    </row>
    <row r="22" spans="1:38" x14ac:dyDescent="0.4">
      <c r="A22">
        <v>9</v>
      </c>
      <c r="B22">
        <v>1.506</v>
      </c>
      <c r="C22">
        <v>1.522</v>
      </c>
      <c r="D22">
        <v>1.5089999999999999</v>
      </c>
      <c r="E22">
        <v>1.502</v>
      </c>
      <c r="F22">
        <v>1.512</v>
      </c>
      <c r="G22">
        <v>1.522</v>
      </c>
      <c r="L22">
        <v>9</v>
      </c>
      <c r="M22">
        <v>1.9650000000000001</v>
      </c>
      <c r="N22">
        <v>1.8859999999999999</v>
      </c>
      <c r="O22">
        <v>1.7929999999999999</v>
      </c>
      <c r="P22">
        <v>1.712</v>
      </c>
      <c r="Q22">
        <v>1.6559999999999999</v>
      </c>
      <c r="R22">
        <v>1.6559999999999999</v>
      </c>
      <c r="T22">
        <v>9</v>
      </c>
      <c r="U22">
        <v>1.911</v>
      </c>
      <c r="V22">
        <v>1.833</v>
      </c>
      <c r="W22">
        <v>1.736</v>
      </c>
      <c r="X22">
        <v>1.645</v>
      </c>
      <c r="Y22">
        <v>1.607</v>
      </c>
      <c r="Z22">
        <v>1.585</v>
      </c>
      <c r="AB22">
        <v>9</v>
      </c>
      <c r="AH22">
        <v>9</v>
      </c>
      <c r="AI22">
        <v>2.4300000000000002</v>
      </c>
      <c r="AJ22">
        <v>2.343</v>
      </c>
      <c r="AK22">
        <v>2.2109999999999999</v>
      </c>
      <c r="AL22">
        <v>2.0539999999999998</v>
      </c>
    </row>
    <row r="23" spans="1:38" x14ac:dyDescent="0.4">
      <c r="A23">
        <v>10</v>
      </c>
      <c r="B23">
        <v>1.514</v>
      </c>
      <c r="C23">
        <v>1.522</v>
      </c>
      <c r="D23">
        <v>1.409</v>
      </c>
      <c r="E23">
        <v>1.502</v>
      </c>
      <c r="F23">
        <v>1.502</v>
      </c>
      <c r="G23">
        <v>1.5089999999999999</v>
      </c>
      <c r="L23">
        <v>10</v>
      </c>
      <c r="M23">
        <v>1.9650000000000001</v>
      </c>
      <c r="N23">
        <v>1.889</v>
      </c>
      <c r="O23">
        <v>1.796</v>
      </c>
      <c r="P23">
        <v>1.7050000000000001</v>
      </c>
      <c r="Q23">
        <v>1.6659999999999999</v>
      </c>
      <c r="R23">
        <v>1.6459999999999999</v>
      </c>
      <c r="T23">
        <v>10</v>
      </c>
      <c r="U23">
        <v>1.9159999999999999</v>
      </c>
      <c r="V23">
        <v>1.833</v>
      </c>
      <c r="W23">
        <v>1.736</v>
      </c>
      <c r="X23">
        <v>1.6479999999999999</v>
      </c>
      <c r="Y23">
        <v>1.605</v>
      </c>
      <c r="Z23">
        <v>1.585</v>
      </c>
      <c r="AB23">
        <v>10</v>
      </c>
      <c r="AH23">
        <v>10</v>
      </c>
      <c r="AI23">
        <v>2.4350000000000001</v>
      </c>
      <c r="AJ23">
        <v>2.343</v>
      </c>
      <c r="AK23">
        <v>2.2109999999999999</v>
      </c>
      <c r="AL23">
        <v>2.044</v>
      </c>
    </row>
    <row r="24" spans="1:38" x14ac:dyDescent="0.4">
      <c r="A24">
        <v>10</v>
      </c>
      <c r="B24">
        <v>1.514</v>
      </c>
      <c r="C24">
        <v>1.5089999999999999</v>
      </c>
      <c r="D24">
        <v>1.512</v>
      </c>
      <c r="E24">
        <v>1.522</v>
      </c>
      <c r="F24">
        <v>1.502</v>
      </c>
      <c r="G24">
        <v>1.512</v>
      </c>
      <c r="L24">
        <v>10</v>
      </c>
      <c r="M24">
        <v>1.962</v>
      </c>
      <c r="N24">
        <v>1.8859999999999999</v>
      </c>
      <c r="O24">
        <v>1.7929999999999999</v>
      </c>
      <c r="P24">
        <v>1.712</v>
      </c>
      <c r="Q24">
        <v>1.653</v>
      </c>
      <c r="R24">
        <v>1.6459999999999999</v>
      </c>
      <c r="T24">
        <v>10</v>
      </c>
      <c r="U24">
        <v>1.9159999999999999</v>
      </c>
      <c r="V24">
        <v>1.833</v>
      </c>
      <c r="W24">
        <v>1.736</v>
      </c>
      <c r="X24">
        <v>1.6479999999999999</v>
      </c>
      <c r="Y24">
        <v>1.605</v>
      </c>
      <c r="Z24">
        <v>1.585</v>
      </c>
      <c r="AB24">
        <v>10</v>
      </c>
      <c r="AH24">
        <v>10</v>
      </c>
      <c r="AI24">
        <v>2.44</v>
      </c>
      <c r="AJ24">
        <v>2.343</v>
      </c>
      <c r="AK24">
        <v>2.2109999999999999</v>
      </c>
      <c r="AL24">
        <v>2.0640000000000001</v>
      </c>
    </row>
    <row r="25" spans="1:38" x14ac:dyDescent="0.4">
      <c r="A25">
        <v>11</v>
      </c>
      <c r="B25">
        <v>1.514</v>
      </c>
      <c r="C25">
        <v>1.502</v>
      </c>
      <c r="D25">
        <v>1.512</v>
      </c>
      <c r="E25">
        <v>1.522</v>
      </c>
      <c r="F25">
        <v>1.502</v>
      </c>
      <c r="G25">
        <v>1.512</v>
      </c>
      <c r="L25">
        <v>11</v>
      </c>
      <c r="M25">
        <v>1.9750000000000001</v>
      </c>
      <c r="N25">
        <v>1.8759999999999999</v>
      </c>
      <c r="O25">
        <v>1.8009999999999999</v>
      </c>
      <c r="P25">
        <v>1.702</v>
      </c>
      <c r="Q25">
        <v>1.6659999999999999</v>
      </c>
      <c r="R25">
        <v>1.6459999999999999</v>
      </c>
      <c r="T25">
        <v>11</v>
      </c>
      <c r="U25">
        <v>1.9159999999999999</v>
      </c>
      <c r="V25">
        <v>1.833</v>
      </c>
      <c r="W25">
        <v>1.736</v>
      </c>
      <c r="X25">
        <v>1.6479999999999999</v>
      </c>
      <c r="Y25">
        <v>1.605</v>
      </c>
      <c r="Z25">
        <v>1.585</v>
      </c>
      <c r="AB25">
        <v>11</v>
      </c>
      <c r="AH25">
        <v>11</v>
      </c>
      <c r="AI25">
        <v>2.4350000000000001</v>
      </c>
      <c r="AJ25">
        <v>2.347</v>
      </c>
      <c r="AK25">
        <v>2.2109999999999999</v>
      </c>
      <c r="AL25">
        <v>2.0539999999999998</v>
      </c>
    </row>
    <row r="26" spans="1:38" x14ac:dyDescent="0.4">
      <c r="A26">
        <v>11</v>
      </c>
      <c r="B26">
        <v>1.504</v>
      </c>
      <c r="C26">
        <v>1.502</v>
      </c>
      <c r="D26">
        <v>1.522</v>
      </c>
      <c r="E26">
        <v>1.5189999999999999</v>
      </c>
      <c r="F26">
        <v>1.502</v>
      </c>
      <c r="G26">
        <v>1.512</v>
      </c>
      <c r="L26">
        <v>11</v>
      </c>
      <c r="M26">
        <v>1.9650000000000001</v>
      </c>
      <c r="N26">
        <v>1.8759999999999999</v>
      </c>
      <c r="O26">
        <v>1.7929999999999999</v>
      </c>
      <c r="P26">
        <v>1.702</v>
      </c>
      <c r="Q26">
        <v>1.6659999999999999</v>
      </c>
      <c r="R26">
        <v>1.6559999999999999</v>
      </c>
      <c r="T26">
        <v>11</v>
      </c>
      <c r="U26">
        <v>1.9159999999999999</v>
      </c>
      <c r="V26">
        <v>1.833</v>
      </c>
      <c r="W26">
        <v>1.736</v>
      </c>
      <c r="X26">
        <v>1.6479999999999999</v>
      </c>
      <c r="Y26">
        <v>1.605</v>
      </c>
      <c r="Z26">
        <v>1.585</v>
      </c>
      <c r="AB26">
        <v>11</v>
      </c>
      <c r="AH26">
        <v>11</v>
      </c>
      <c r="AI26">
        <v>2.4350000000000001</v>
      </c>
      <c r="AJ26">
        <v>2.347</v>
      </c>
      <c r="AK26">
        <v>2.2109999999999999</v>
      </c>
      <c r="AL26">
        <v>2.0539999999999998</v>
      </c>
    </row>
    <row r="27" spans="1:38" x14ac:dyDescent="0.4">
      <c r="A27">
        <v>12</v>
      </c>
      <c r="B27">
        <v>1.506</v>
      </c>
      <c r="C27">
        <v>1.512</v>
      </c>
      <c r="D27">
        <v>1.5089999999999999</v>
      </c>
      <c r="E27">
        <v>1.5089999999999999</v>
      </c>
      <c r="F27">
        <v>1.512</v>
      </c>
      <c r="G27">
        <v>1.502</v>
      </c>
      <c r="L27">
        <v>12</v>
      </c>
      <c r="M27">
        <v>1.962</v>
      </c>
      <c r="N27">
        <v>1.8959999999999999</v>
      </c>
      <c r="O27">
        <v>1.796</v>
      </c>
      <c r="P27">
        <v>1.7150000000000001</v>
      </c>
      <c r="Q27">
        <v>1.6659999999999999</v>
      </c>
      <c r="R27">
        <v>1.6459999999999999</v>
      </c>
      <c r="T27">
        <v>12</v>
      </c>
      <c r="U27">
        <v>1.911</v>
      </c>
      <c r="V27">
        <v>1.833</v>
      </c>
      <c r="W27">
        <v>1.736</v>
      </c>
      <c r="X27">
        <v>1.6479999999999999</v>
      </c>
      <c r="Y27">
        <v>1.605</v>
      </c>
      <c r="Z27">
        <v>1.585</v>
      </c>
      <c r="AB27">
        <v>12</v>
      </c>
      <c r="AH27">
        <v>12</v>
      </c>
      <c r="AI27">
        <v>2.4350000000000001</v>
      </c>
      <c r="AJ27">
        <v>2.343</v>
      </c>
      <c r="AK27">
        <v>2.2109999999999999</v>
      </c>
      <c r="AL27">
        <v>2.0539999999999998</v>
      </c>
    </row>
    <row r="28" spans="1:38" x14ac:dyDescent="0.4">
      <c r="A28">
        <v>12</v>
      </c>
      <c r="B28">
        <v>1.504</v>
      </c>
      <c r="C28">
        <v>1.512</v>
      </c>
      <c r="D28">
        <v>1.4990000000000001</v>
      </c>
      <c r="E28">
        <v>1.502</v>
      </c>
      <c r="F28">
        <v>1.512</v>
      </c>
      <c r="G28">
        <v>1.512</v>
      </c>
      <c r="L28">
        <v>12</v>
      </c>
      <c r="M28">
        <v>1.962</v>
      </c>
      <c r="N28">
        <v>1.8959999999999999</v>
      </c>
      <c r="O28">
        <v>1.7929999999999999</v>
      </c>
      <c r="P28">
        <v>1.702</v>
      </c>
      <c r="Q28">
        <v>1.6659999999999999</v>
      </c>
      <c r="R28">
        <v>1.6459999999999999</v>
      </c>
      <c r="T28">
        <v>12</v>
      </c>
      <c r="U28">
        <v>1.911</v>
      </c>
      <c r="V28">
        <v>1.823</v>
      </c>
      <c r="W28">
        <v>1.736</v>
      </c>
      <c r="X28">
        <v>1.6479999999999999</v>
      </c>
      <c r="Y28">
        <v>1.605</v>
      </c>
      <c r="Z28">
        <v>1.585</v>
      </c>
      <c r="AB28">
        <v>12</v>
      </c>
      <c r="AH28">
        <v>12</v>
      </c>
      <c r="AI28">
        <v>2.4289999999999998</v>
      </c>
      <c r="AJ28">
        <v>2.3370000000000002</v>
      </c>
      <c r="AK28">
        <v>2.2109999999999999</v>
      </c>
      <c r="AL28">
        <v>2.0539999999999998</v>
      </c>
    </row>
    <row r="29" spans="1:38" x14ac:dyDescent="0.4">
      <c r="A29">
        <v>13</v>
      </c>
      <c r="B29">
        <v>1.512</v>
      </c>
      <c r="C29">
        <v>1.512</v>
      </c>
      <c r="D29">
        <v>1.5089999999999999</v>
      </c>
      <c r="E29">
        <v>1.512</v>
      </c>
      <c r="F29">
        <v>1.512</v>
      </c>
      <c r="G29">
        <v>1.512</v>
      </c>
      <c r="L29">
        <v>13</v>
      </c>
      <c r="M29">
        <v>1.9650000000000001</v>
      </c>
      <c r="N29">
        <v>1.8759999999999999</v>
      </c>
      <c r="O29">
        <v>1.7929999999999999</v>
      </c>
      <c r="P29">
        <v>1.712</v>
      </c>
      <c r="Q29">
        <v>1.6659999999999999</v>
      </c>
      <c r="R29">
        <v>1.6559999999999999</v>
      </c>
      <c r="T29">
        <v>13</v>
      </c>
      <c r="U29">
        <v>1.9159999999999999</v>
      </c>
      <c r="V29">
        <v>1.823</v>
      </c>
      <c r="W29">
        <v>1.736</v>
      </c>
      <c r="X29">
        <v>1.6479999999999999</v>
      </c>
      <c r="Y29">
        <v>1.605</v>
      </c>
      <c r="Z29">
        <v>1.585</v>
      </c>
      <c r="AB29">
        <v>13</v>
      </c>
      <c r="AH29">
        <v>13</v>
      </c>
      <c r="AI29">
        <v>2.4239999999999999</v>
      </c>
      <c r="AJ29">
        <v>2.3370000000000002</v>
      </c>
      <c r="AK29">
        <v>2.2000000000000002</v>
      </c>
      <c r="AL29">
        <v>2.044</v>
      </c>
    </row>
    <row r="30" spans="1:38" x14ac:dyDescent="0.4">
      <c r="A30">
        <v>13</v>
      </c>
      <c r="B30">
        <v>1.512</v>
      </c>
      <c r="C30">
        <v>1.5089999999999999</v>
      </c>
      <c r="D30">
        <v>1.522</v>
      </c>
      <c r="E30">
        <v>1.502</v>
      </c>
      <c r="F30">
        <v>1.512</v>
      </c>
      <c r="G30">
        <v>1.512</v>
      </c>
      <c r="L30">
        <v>13</v>
      </c>
      <c r="M30">
        <v>1.962</v>
      </c>
      <c r="N30">
        <v>1.889</v>
      </c>
      <c r="O30">
        <v>1.798</v>
      </c>
      <c r="P30">
        <v>1.7150000000000001</v>
      </c>
      <c r="Q30">
        <v>1.6659999999999999</v>
      </c>
      <c r="R30">
        <v>1.6459999999999999</v>
      </c>
      <c r="T30">
        <v>13</v>
      </c>
      <c r="U30">
        <v>1.9159999999999999</v>
      </c>
      <c r="V30">
        <v>1.833</v>
      </c>
      <c r="W30">
        <v>1.742</v>
      </c>
      <c r="X30">
        <v>1.6479999999999999</v>
      </c>
      <c r="Y30">
        <v>1.605</v>
      </c>
      <c r="Z30">
        <v>1.585</v>
      </c>
      <c r="AB30">
        <v>13</v>
      </c>
      <c r="AH30">
        <v>13</v>
      </c>
      <c r="AI30">
        <v>2.4350000000000001</v>
      </c>
      <c r="AJ30">
        <v>2.3330000000000002</v>
      </c>
      <c r="AK30">
        <v>2.2000000000000002</v>
      </c>
      <c r="AL30">
        <v>2.044</v>
      </c>
    </row>
    <row r="31" spans="1:38" x14ac:dyDescent="0.4">
      <c r="A31">
        <v>14</v>
      </c>
      <c r="B31">
        <v>1.494</v>
      </c>
      <c r="C31">
        <v>1.5089999999999999</v>
      </c>
      <c r="D31">
        <v>1.512</v>
      </c>
      <c r="E31">
        <v>1.522</v>
      </c>
      <c r="F31">
        <v>1.5089999999999999</v>
      </c>
      <c r="G31">
        <v>1.512</v>
      </c>
      <c r="L31">
        <v>14</v>
      </c>
      <c r="M31">
        <v>1.972</v>
      </c>
      <c r="N31">
        <v>1.8859999999999999</v>
      </c>
      <c r="O31">
        <v>1.7929999999999999</v>
      </c>
      <c r="P31">
        <v>1.7150000000000001</v>
      </c>
      <c r="Q31">
        <v>1.6659999999999999</v>
      </c>
      <c r="R31">
        <v>1.6459999999999999</v>
      </c>
      <c r="T31">
        <v>14</v>
      </c>
      <c r="U31">
        <v>1.911</v>
      </c>
      <c r="V31">
        <v>1.833</v>
      </c>
      <c r="W31">
        <v>1.742</v>
      </c>
      <c r="X31">
        <v>1.6479999999999999</v>
      </c>
      <c r="Y31">
        <v>1.605</v>
      </c>
      <c r="Z31">
        <v>1.585</v>
      </c>
      <c r="AB31">
        <v>14</v>
      </c>
      <c r="AH31">
        <v>14</v>
      </c>
      <c r="AI31">
        <v>2.4449999999999998</v>
      </c>
      <c r="AJ31">
        <v>2.347</v>
      </c>
      <c r="AK31">
        <v>2.2000000000000002</v>
      </c>
      <c r="AL31">
        <v>2.0640000000000001</v>
      </c>
    </row>
    <row r="32" spans="1:38" x14ac:dyDescent="0.4">
      <c r="A32">
        <v>14</v>
      </c>
      <c r="B32">
        <v>1.494</v>
      </c>
      <c r="C32">
        <v>1.5189999999999999</v>
      </c>
      <c r="D32">
        <v>1.52</v>
      </c>
      <c r="E32">
        <v>1.502</v>
      </c>
      <c r="F32">
        <v>1.512</v>
      </c>
      <c r="G32">
        <v>1.512</v>
      </c>
      <c r="L32">
        <v>14</v>
      </c>
      <c r="M32">
        <v>1.962</v>
      </c>
      <c r="N32">
        <v>1.889</v>
      </c>
      <c r="O32">
        <v>1.7929999999999999</v>
      </c>
      <c r="P32">
        <v>1.7150000000000001</v>
      </c>
      <c r="Q32">
        <v>1.6659999999999999</v>
      </c>
      <c r="R32">
        <v>1.6559999999999999</v>
      </c>
      <c r="T32">
        <v>14</v>
      </c>
      <c r="U32">
        <v>1.911</v>
      </c>
      <c r="V32">
        <v>1.833</v>
      </c>
      <c r="W32">
        <v>1.736</v>
      </c>
      <c r="X32">
        <v>1.6479999999999999</v>
      </c>
      <c r="Y32">
        <v>1.605</v>
      </c>
      <c r="Z32">
        <v>1.585</v>
      </c>
      <c r="AB32">
        <v>14</v>
      </c>
      <c r="AH32">
        <v>14</v>
      </c>
      <c r="AI32">
        <v>2.4350000000000001</v>
      </c>
      <c r="AJ32">
        <v>2.343</v>
      </c>
      <c r="AK32">
        <v>2.2000000000000002</v>
      </c>
      <c r="AL32">
        <v>2.0510000000000002</v>
      </c>
    </row>
    <row r="33" spans="1:38" x14ac:dyDescent="0.4">
      <c r="A33">
        <v>15</v>
      </c>
      <c r="B33">
        <v>1.504</v>
      </c>
      <c r="C33">
        <v>1.5189999999999999</v>
      </c>
      <c r="D33">
        <v>1.512</v>
      </c>
      <c r="E33">
        <v>1.522</v>
      </c>
      <c r="F33">
        <v>1.5089999999999999</v>
      </c>
      <c r="G33">
        <v>1.512</v>
      </c>
      <c r="L33">
        <v>15</v>
      </c>
      <c r="M33">
        <v>1.962</v>
      </c>
      <c r="N33">
        <v>1.889</v>
      </c>
      <c r="O33">
        <v>1.8009999999999999</v>
      </c>
      <c r="P33">
        <v>1.7050000000000001</v>
      </c>
      <c r="Q33">
        <v>1.6659999999999999</v>
      </c>
      <c r="R33">
        <v>1.6559999999999999</v>
      </c>
      <c r="T33">
        <v>15</v>
      </c>
      <c r="U33">
        <v>1.9159999999999999</v>
      </c>
      <c r="V33">
        <v>1.833</v>
      </c>
      <c r="W33">
        <v>1.736</v>
      </c>
      <c r="X33">
        <v>1.6479999999999999</v>
      </c>
      <c r="Y33">
        <v>1.607</v>
      </c>
      <c r="Z33">
        <v>1.585</v>
      </c>
      <c r="AB33">
        <v>15</v>
      </c>
      <c r="AH33">
        <v>15</v>
      </c>
      <c r="AI33">
        <v>2.4350000000000001</v>
      </c>
      <c r="AJ33">
        <v>2.3479999999999999</v>
      </c>
      <c r="AK33">
        <v>2.2000000000000002</v>
      </c>
      <c r="AL33">
        <v>2.0609999999999999</v>
      </c>
    </row>
    <row r="34" spans="1:38" x14ac:dyDescent="0.4">
      <c r="A34">
        <v>15</v>
      </c>
      <c r="B34">
        <v>1.504</v>
      </c>
      <c r="C34">
        <v>1.502</v>
      </c>
      <c r="D34">
        <v>1.512</v>
      </c>
      <c r="E34">
        <v>1.512</v>
      </c>
      <c r="F34">
        <v>1.5089999999999999</v>
      </c>
      <c r="G34">
        <v>1.512</v>
      </c>
      <c r="L34">
        <v>15</v>
      </c>
      <c r="M34">
        <v>1.9550000000000001</v>
      </c>
      <c r="N34">
        <v>1.889</v>
      </c>
      <c r="O34">
        <v>1.798</v>
      </c>
      <c r="P34">
        <v>1.712</v>
      </c>
      <c r="Q34">
        <v>1.6659999999999999</v>
      </c>
      <c r="R34">
        <v>1.6559999999999999</v>
      </c>
      <c r="T34">
        <v>15</v>
      </c>
      <c r="U34">
        <v>1.9159999999999999</v>
      </c>
      <c r="V34">
        <v>1.833</v>
      </c>
      <c r="W34">
        <v>1.736</v>
      </c>
      <c r="X34">
        <v>1.645</v>
      </c>
      <c r="Y34">
        <v>1.607</v>
      </c>
      <c r="Z34">
        <v>1.585</v>
      </c>
      <c r="AB34">
        <v>15</v>
      </c>
      <c r="AH34">
        <v>15</v>
      </c>
      <c r="AI34">
        <v>2.4350000000000001</v>
      </c>
      <c r="AJ34">
        <v>2.3479999999999999</v>
      </c>
      <c r="AK34">
        <v>2.2109999999999999</v>
      </c>
      <c r="AL34">
        <v>2.0609999999999999</v>
      </c>
    </row>
    <row r="35" spans="1:38" x14ac:dyDescent="0.4">
      <c r="A35">
        <v>16</v>
      </c>
      <c r="B35">
        <v>1.504</v>
      </c>
      <c r="C35">
        <v>1.502</v>
      </c>
      <c r="D35">
        <v>1.502</v>
      </c>
      <c r="E35">
        <v>1.512</v>
      </c>
      <c r="F35">
        <v>1.522</v>
      </c>
      <c r="G35">
        <v>1.512</v>
      </c>
      <c r="L35">
        <v>16</v>
      </c>
      <c r="M35">
        <v>1.9750000000000001</v>
      </c>
      <c r="N35">
        <v>1.879</v>
      </c>
      <c r="O35">
        <v>1.796</v>
      </c>
      <c r="P35">
        <v>1.712</v>
      </c>
      <c r="Q35">
        <v>1.6559999999999999</v>
      </c>
      <c r="R35">
        <v>1.643</v>
      </c>
      <c r="T35">
        <v>16</v>
      </c>
      <c r="U35">
        <v>1.911</v>
      </c>
      <c r="V35">
        <v>1.833</v>
      </c>
      <c r="W35">
        <v>1.736</v>
      </c>
      <c r="X35">
        <v>1.655</v>
      </c>
      <c r="Y35">
        <v>1.605</v>
      </c>
      <c r="Z35">
        <v>1.585</v>
      </c>
      <c r="AB35">
        <v>16</v>
      </c>
      <c r="AH35">
        <v>16</v>
      </c>
      <c r="AI35">
        <v>2.4350000000000001</v>
      </c>
      <c r="AJ35">
        <v>2.347</v>
      </c>
      <c r="AK35">
        <v>2.2109999999999999</v>
      </c>
      <c r="AL35">
        <v>2.0609999999999999</v>
      </c>
    </row>
    <row r="36" spans="1:38" x14ac:dyDescent="0.4">
      <c r="A36">
        <v>16</v>
      </c>
      <c r="B36">
        <v>1.512</v>
      </c>
      <c r="C36">
        <v>1.522</v>
      </c>
      <c r="D36">
        <v>1.512</v>
      </c>
      <c r="E36">
        <v>1.512</v>
      </c>
      <c r="F36">
        <v>1.512</v>
      </c>
      <c r="G36">
        <v>1.512</v>
      </c>
      <c r="L36">
        <v>16</v>
      </c>
      <c r="M36">
        <v>1.9750000000000001</v>
      </c>
      <c r="N36">
        <v>1.8859999999999999</v>
      </c>
      <c r="O36">
        <v>1.796</v>
      </c>
      <c r="P36">
        <v>1.6950000000000001</v>
      </c>
      <c r="Q36">
        <v>1.6559999999999999</v>
      </c>
      <c r="R36">
        <v>1.643</v>
      </c>
      <c r="T36">
        <v>16</v>
      </c>
      <c r="U36">
        <v>1.911</v>
      </c>
      <c r="V36">
        <v>1.833</v>
      </c>
      <c r="W36">
        <v>1.736</v>
      </c>
      <c r="X36">
        <v>1.655</v>
      </c>
      <c r="Y36">
        <v>1.605</v>
      </c>
      <c r="Z36">
        <v>1.585</v>
      </c>
      <c r="AB36">
        <v>16</v>
      </c>
      <c r="AH36">
        <v>16</v>
      </c>
      <c r="AI36">
        <v>2.4350000000000001</v>
      </c>
      <c r="AJ36">
        <v>2.347</v>
      </c>
      <c r="AK36">
        <v>2.2109999999999999</v>
      </c>
      <c r="AL36">
        <v>2.0609999999999999</v>
      </c>
    </row>
    <row r="37" spans="1:38" x14ac:dyDescent="0.4">
      <c r="A37">
        <v>17</v>
      </c>
      <c r="B37">
        <v>1.504</v>
      </c>
      <c r="C37">
        <v>1.5149999999999999</v>
      </c>
      <c r="D37">
        <v>1.502</v>
      </c>
      <c r="E37">
        <v>1.512</v>
      </c>
      <c r="F37">
        <v>1.512</v>
      </c>
      <c r="G37">
        <v>1.502</v>
      </c>
      <c r="L37">
        <v>17</v>
      </c>
      <c r="M37">
        <v>1.962</v>
      </c>
      <c r="N37">
        <v>1.8859999999999999</v>
      </c>
      <c r="O37">
        <v>1.798</v>
      </c>
      <c r="P37">
        <v>1.7050000000000001</v>
      </c>
      <c r="Q37">
        <v>1.6559999999999999</v>
      </c>
      <c r="R37">
        <v>1.659</v>
      </c>
      <c r="T37">
        <v>17</v>
      </c>
      <c r="U37">
        <v>1.911</v>
      </c>
      <c r="V37">
        <v>1.833</v>
      </c>
      <c r="W37">
        <v>1.736</v>
      </c>
      <c r="X37">
        <v>1.645</v>
      </c>
      <c r="Y37">
        <v>1.605</v>
      </c>
      <c r="Z37">
        <v>1.585</v>
      </c>
      <c r="AB37">
        <v>17</v>
      </c>
      <c r="AH37">
        <v>17</v>
      </c>
      <c r="AI37">
        <v>2.4350000000000001</v>
      </c>
      <c r="AJ37">
        <v>2.3519999999999999</v>
      </c>
      <c r="AK37">
        <v>2.2109999999999999</v>
      </c>
      <c r="AL37">
        <v>2.0640000000000001</v>
      </c>
    </row>
    <row r="38" spans="1:38" x14ac:dyDescent="0.4">
      <c r="A38">
        <v>17</v>
      </c>
      <c r="B38">
        <v>1.504</v>
      </c>
      <c r="C38">
        <v>1.5149999999999999</v>
      </c>
      <c r="D38">
        <v>1.5089999999999999</v>
      </c>
      <c r="E38">
        <v>1.5169999999999999</v>
      </c>
      <c r="F38">
        <v>1.502</v>
      </c>
      <c r="G38">
        <v>1.512</v>
      </c>
      <c r="L38">
        <v>17</v>
      </c>
      <c r="M38">
        <v>1.9750000000000001</v>
      </c>
      <c r="N38">
        <v>1.8959999999999999</v>
      </c>
      <c r="O38">
        <v>1.8009999999999999</v>
      </c>
      <c r="P38">
        <v>1.7150000000000001</v>
      </c>
      <c r="Q38">
        <v>1.6559999999999999</v>
      </c>
      <c r="R38">
        <v>1.649</v>
      </c>
      <c r="T38">
        <v>17</v>
      </c>
      <c r="U38">
        <v>1.911</v>
      </c>
      <c r="V38">
        <v>1.833</v>
      </c>
      <c r="W38">
        <v>1.742</v>
      </c>
      <c r="X38">
        <v>1.645</v>
      </c>
      <c r="Y38">
        <v>1.605</v>
      </c>
      <c r="Z38">
        <v>1.585</v>
      </c>
      <c r="AB38">
        <v>17</v>
      </c>
      <c r="AH38">
        <v>17</v>
      </c>
      <c r="AI38">
        <v>2.4350000000000001</v>
      </c>
      <c r="AJ38">
        <v>2.347</v>
      </c>
      <c r="AK38">
        <v>2.1970000000000001</v>
      </c>
      <c r="AL38">
        <v>2.0640000000000001</v>
      </c>
    </row>
    <row r="39" spans="1:38" x14ac:dyDescent="0.4">
      <c r="A39">
        <v>18</v>
      </c>
      <c r="B39">
        <v>1.504</v>
      </c>
      <c r="C39">
        <v>1.5089999999999999</v>
      </c>
      <c r="D39">
        <v>1.502</v>
      </c>
      <c r="E39">
        <v>1.5089999999999999</v>
      </c>
      <c r="F39">
        <v>1.512</v>
      </c>
      <c r="G39">
        <v>1.522</v>
      </c>
      <c r="L39">
        <v>18</v>
      </c>
      <c r="M39">
        <v>1.9750000000000001</v>
      </c>
      <c r="N39">
        <v>1.8959999999999999</v>
      </c>
      <c r="O39">
        <v>1.796</v>
      </c>
      <c r="P39">
        <v>1.7150000000000001</v>
      </c>
      <c r="Q39">
        <v>1.6659999999999999</v>
      </c>
      <c r="R39">
        <v>1.649</v>
      </c>
      <c r="T39">
        <v>18</v>
      </c>
      <c r="U39">
        <v>1.9159999999999999</v>
      </c>
      <c r="V39">
        <v>1.833</v>
      </c>
      <c r="W39">
        <v>1.742</v>
      </c>
      <c r="X39">
        <v>1.645</v>
      </c>
      <c r="Y39">
        <v>1.607</v>
      </c>
      <c r="Z39">
        <v>1.585</v>
      </c>
      <c r="AB39">
        <v>18</v>
      </c>
      <c r="AH39">
        <v>18</v>
      </c>
      <c r="AI39">
        <v>2.4350000000000001</v>
      </c>
      <c r="AJ39">
        <v>2.347</v>
      </c>
      <c r="AK39">
        <v>2.2000000000000002</v>
      </c>
      <c r="AL39">
        <v>2.0539999999999998</v>
      </c>
    </row>
    <row r="40" spans="1:38" x14ac:dyDescent="0.4">
      <c r="A40">
        <v>18</v>
      </c>
      <c r="B40">
        <v>1.506</v>
      </c>
      <c r="C40">
        <v>1.5089999999999999</v>
      </c>
      <c r="D40">
        <v>1.502</v>
      </c>
      <c r="E40">
        <v>1.5089999999999999</v>
      </c>
      <c r="F40">
        <v>1.512</v>
      </c>
      <c r="G40">
        <v>1.512</v>
      </c>
      <c r="L40">
        <v>18</v>
      </c>
      <c r="M40">
        <v>1.9550000000000001</v>
      </c>
      <c r="N40">
        <v>1.8859999999999999</v>
      </c>
      <c r="O40">
        <v>1.796</v>
      </c>
      <c r="P40">
        <v>1.702</v>
      </c>
      <c r="Q40">
        <v>1.6659999999999999</v>
      </c>
      <c r="R40">
        <v>1.6459999999999999</v>
      </c>
      <c r="T40">
        <v>18</v>
      </c>
      <c r="U40">
        <v>1.9159999999999999</v>
      </c>
      <c r="V40">
        <v>1.833</v>
      </c>
      <c r="W40">
        <v>1.742</v>
      </c>
      <c r="X40">
        <v>1.645</v>
      </c>
      <c r="Y40">
        <v>1.607</v>
      </c>
      <c r="Z40">
        <v>1.585</v>
      </c>
      <c r="AB40">
        <v>18</v>
      </c>
      <c r="AH40">
        <v>18</v>
      </c>
      <c r="AI40">
        <v>2.4350000000000001</v>
      </c>
      <c r="AJ40">
        <v>2.343</v>
      </c>
      <c r="AK40">
        <v>2.2109999999999999</v>
      </c>
      <c r="AL40">
        <v>2.0539999999999998</v>
      </c>
    </row>
    <row r="41" spans="1:38" x14ac:dyDescent="0.4">
      <c r="A41">
        <v>19</v>
      </c>
      <c r="B41">
        <v>1.504</v>
      </c>
      <c r="C41">
        <v>1.5189999999999999</v>
      </c>
      <c r="D41">
        <v>1.502</v>
      </c>
      <c r="E41">
        <v>1.5089999999999999</v>
      </c>
      <c r="F41">
        <v>1.5089999999999999</v>
      </c>
      <c r="G41">
        <v>1.502</v>
      </c>
      <c r="L41">
        <v>19</v>
      </c>
      <c r="M41">
        <v>1.952</v>
      </c>
      <c r="N41">
        <v>1.8859999999999999</v>
      </c>
      <c r="O41">
        <v>1.7929999999999999</v>
      </c>
      <c r="P41">
        <v>1.702</v>
      </c>
      <c r="Q41">
        <v>1.6659999999999999</v>
      </c>
      <c r="R41">
        <v>1.6459999999999999</v>
      </c>
      <c r="T41">
        <v>19</v>
      </c>
      <c r="U41">
        <v>1.911</v>
      </c>
      <c r="V41">
        <v>1.833</v>
      </c>
      <c r="W41">
        <v>1.742</v>
      </c>
      <c r="X41">
        <v>1.645</v>
      </c>
      <c r="Y41">
        <v>1.607</v>
      </c>
      <c r="Z41">
        <v>1.585</v>
      </c>
      <c r="AB41">
        <v>19</v>
      </c>
      <c r="AH41">
        <v>19</v>
      </c>
      <c r="AI41">
        <v>2.4300000000000002</v>
      </c>
      <c r="AJ41">
        <v>2.3370000000000002</v>
      </c>
      <c r="AK41">
        <v>2.2109999999999999</v>
      </c>
      <c r="AL41">
        <v>2.0680000000000001</v>
      </c>
    </row>
    <row r="42" spans="1:38" x14ac:dyDescent="0.4">
      <c r="A42">
        <v>19</v>
      </c>
      <c r="B42">
        <v>1.514</v>
      </c>
      <c r="C42">
        <v>1.512</v>
      </c>
      <c r="D42">
        <v>1.5089999999999999</v>
      </c>
      <c r="E42">
        <v>1.512</v>
      </c>
      <c r="F42">
        <v>1.5089999999999999</v>
      </c>
      <c r="G42">
        <v>1.512</v>
      </c>
      <c r="L42">
        <v>19</v>
      </c>
      <c r="M42">
        <v>1.972</v>
      </c>
      <c r="N42">
        <v>1.889</v>
      </c>
      <c r="O42">
        <v>1.7929999999999999</v>
      </c>
      <c r="P42">
        <v>1.7050000000000001</v>
      </c>
      <c r="Q42">
        <v>1.6559999999999999</v>
      </c>
      <c r="R42">
        <v>1.6559999999999999</v>
      </c>
      <c r="T42">
        <v>19</v>
      </c>
      <c r="U42">
        <v>1.911</v>
      </c>
      <c r="V42">
        <v>1.833</v>
      </c>
      <c r="W42">
        <v>1.736</v>
      </c>
      <c r="X42">
        <v>1.645</v>
      </c>
      <c r="Y42">
        <v>1.607</v>
      </c>
      <c r="Z42">
        <v>1.585</v>
      </c>
      <c r="AB42">
        <v>19</v>
      </c>
      <c r="AH42">
        <v>19</v>
      </c>
      <c r="AI42">
        <v>2.4350000000000001</v>
      </c>
      <c r="AJ42">
        <v>2.3519999999999999</v>
      </c>
      <c r="AK42">
        <v>2.19</v>
      </c>
      <c r="AL42">
        <v>2.0739999999999998</v>
      </c>
    </row>
    <row r="43" spans="1:38" x14ac:dyDescent="0.4">
      <c r="A43">
        <v>20</v>
      </c>
      <c r="B43">
        <v>1.5009999999999999</v>
      </c>
      <c r="C43">
        <v>1.512</v>
      </c>
      <c r="D43">
        <v>1.5089999999999999</v>
      </c>
      <c r="E43">
        <v>1.522</v>
      </c>
      <c r="F43">
        <v>1.5089999999999999</v>
      </c>
      <c r="G43">
        <v>1.512</v>
      </c>
      <c r="L43">
        <v>20</v>
      </c>
      <c r="M43">
        <v>1.9750000000000001</v>
      </c>
      <c r="N43">
        <v>1.889</v>
      </c>
      <c r="O43">
        <v>1.796</v>
      </c>
      <c r="P43">
        <v>1.7050000000000001</v>
      </c>
      <c r="Q43">
        <v>1.6659999999999999</v>
      </c>
      <c r="R43">
        <v>1.6459999999999999</v>
      </c>
      <c r="T43">
        <v>20</v>
      </c>
      <c r="U43">
        <v>1.911</v>
      </c>
      <c r="V43">
        <v>1.833</v>
      </c>
      <c r="W43">
        <v>1.736</v>
      </c>
      <c r="X43">
        <v>1.655</v>
      </c>
      <c r="Y43">
        <v>1.605</v>
      </c>
      <c r="Z43">
        <v>1.587</v>
      </c>
      <c r="AB43">
        <v>20</v>
      </c>
      <c r="AH43">
        <v>20</v>
      </c>
      <c r="AI43">
        <v>2.4390000000000001</v>
      </c>
      <c r="AJ43">
        <v>2.3479999999999999</v>
      </c>
      <c r="AK43">
        <v>2.2000000000000002</v>
      </c>
      <c r="AL43">
        <v>2.0510000000000002</v>
      </c>
    </row>
    <row r="44" spans="1:38" x14ac:dyDescent="0.4">
      <c r="A44">
        <v>20</v>
      </c>
      <c r="B44">
        <v>1.504</v>
      </c>
      <c r="C44">
        <v>1.5189999999999999</v>
      </c>
      <c r="D44">
        <v>1.512</v>
      </c>
      <c r="E44">
        <v>1.522</v>
      </c>
      <c r="F44">
        <v>1.532</v>
      </c>
      <c r="G44">
        <v>1.512</v>
      </c>
      <c r="L44">
        <v>20</v>
      </c>
      <c r="M44">
        <v>1.9750000000000001</v>
      </c>
      <c r="N44">
        <v>1.8859999999999999</v>
      </c>
      <c r="O44">
        <v>1.7929999999999999</v>
      </c>
      <c r="P44">
        <v>1.702</v>
      </c>
      <c r="Q44">
        <v>1.6659999999999999</v>
      </c>
      <c r="R44">
        <v>1.6559999999999999</v>
      </c>
      <c r="T44">
        <v>20</v>
      </c>
      <c r="U44">
        <v>1.911</v>
      </c>
      <c r="V44">
        <v>1.833</v>
      </c>
      <c r="W44">
        <v>1.736</v>
      </c>
      <c r="X44">
        <v>1.655</v>
      </c>
      <c r="Y44">
        <v>1.605</v>
      </c>
      <c r="Z44">
        <v>1.587</v>
      </c>
      <c r="AB44">
        <v>20</v>
      </c>
      <c r="AH44">
        <v>20</v>
      </c>
      <c r="AI44">
        <v>2.4449999999999998</v>
      </c>
      <c r="AJ44">
        <v>2.3479999999999999</v>
      </c>
      <c r="AK44">
        <v>2.19</v>
      </c>
      <c r="AL44">
        <v>2.044</v>
      </c>
    </row>
    <row r="45" spans="1:38" x14ac:dyDescent="0.4">
      <c r="A45">
        <v>21</v>
      </c>
      <c r="B45">
        <v>1.514</v>
      </c>
      <c r="C45">
        <v>1.5189999999999999</v>
      </c>
      <c r="D45">
        <v>1.552</v>
      </c>
      <c r="E45">
        <v>1.522</v>
      </c>
      <c r="F45">
        <v>1.512</v>
      </c>
      <c r="G45">
        <v>1.512</v>
      </c>
      <c r="L45">
        <v>21</v>
      </c>
      <c r="M45">
        <v>1.9750000000000001</v>
      </c>
      <c r="N45">
        <v>1.8859999999999999</v>
      </c>
      <c r="O45">
        <v>1.7929999999999999</v>
      </c>
      <c r="P45">
        <v>1.7050000000000001</v>
      </c>
      <c r="Q45">
        <v>1.6659999999999999</v>
      </c>
      <c r="R45">
        <v>1.6559999999999999</v>
      </c>
      <c r="T45">
        <v>21</v>
      </c>
      <c r="U45">
        <v>1.911</v>
      </c>
      <c r="V45">
        <v>1.823</v>
      </c>
      <c r="W45">
        <v>1.736</v>
      </c>
      <c r="X45">
        <v>1.655</v>
      </c>
      <c r="Y45">
        <v>1.605</v>
      </c>
      <c r="Z45">
        <v>1.585</v>
      </c>
      <c r="AB45">
        <v>21</v>
      </c>
      <c r="AH45">
        <v>21</v>
      </c>
      <c r="AI45">
        <v>2.4449999999999998</v>
      </c>
      <c r="AJ45">
        <v>2.343</v>
      </c>
      <c r="AK45">
        <v>2.2000000000000002</v>
      </c>
      <c r="AL45">
        <v>2.0609999999999999</v>
      </c>
    </row>
    <row r="46" spans="1:38" x14ac:dyDescent="0.4">
      <c r="A46">
        <v>21</v>
      </c>
      <c r="B46">
        <v>1.504</v>
      </c>
      <c r="C46">
        <v>1.512</v>
      </c>
      <c r="D46">
        <v>1.502</v>
      </c>
      <c r="E46">
        <v>1.5089999999999999</v>
      </c>
      <c r="F46">
        <v>1.4990000000000001</v>
      </c>
      <c r="G46">
        <v>1.4990000000000001</v>
      </c>
      <c r="L46">
        <v>21</v>
      </c>
      <c r="M46">
        <v>1.9750000000000001</v>
      </c>
      <c r="N46">
        <v>1.879</v>
      </c>
      <c r="O46">
        <v>1.8080000000000001</v>
      </c>
      <c r="P46">
        <v>1.718</v>
      </c>
      <c r="Q46">
        <v>1.6659999999999999</v>
      </c>
      <c r="R46">
        <v>1.6559999999999999</v>
      </c>
      <c r="T46">
        <v>21</v>
      </c>
      <c r="U46">
        <v>1.9159999999999999</v>
      </c>
      <c r="V46">
        <v>1.833</v>
      </c>
      <c r="W46">
        <v>1.736</v>
      </c>
      <c r="X46">
        <v>1.645</v>
      </c>
      <c r="Y46">
        <v>1.605</v>
      </c>
      <c r="Z46">
        <v>1.585</v>
      </c>
      <c r="AB46">
        <v>21</v>
      </c>
      <c r="AH46">
        <v>21</v>
      </c>
      <c r="AI46">
        <v>2.4449999999999998</v>
      </c>
      <c r="AJ46">
        <v>2.343</v>
      </c>
      <c r="AK46">
        <v>2.2109999999999999</v>
      </c>
      <c r="AL46">
        <v>2.0640000000000001</v>
      </c>
    </row>
    <row r="47" spans="1:38" x14ac:dyDescent="0.4">
      <c r="A47">
        <v>22</v>
      </c>
      <c r="B47">
        <v>1.504</v>
      </c>
      <c r="C47">
        <v>1.4990000000000001</v>
      </c>
      <c r="D47">
        <v>1.512</v>
      </c>
      <c r="E47">
        <v>1.512</v>
      </c>
      <c r="F47">
        <v>1.512</v>
      </c>
      <c r="G47">
        <v>1.512</v>
      </c>
      <c r="L47">
        <v>22</v>
      </c>
      <c r="M47">
        <v>1.9750000000000001</v>
      </c>
      <c r="N47">
        <v>1.8859999999999999</v>
      </c>
      <c r="O47">
        <v>1.796</v>
      </c>
      <c r="P47">
        <v>1.702</v>
      </c>
      <c r="Q47">
        <v>1.6659999999999999</v>
      </c>
      <c r="R47">
        <v>1.6559999999999999</v>
      </c>
      <c r="T47">
        <v>22</v>
      </c>
      <c r="U47">
        <v>1.911</v>
      </c>
      <c r="V47">
        <v>1.833</v>
      </c>
      <c r="W47">
        <v>1.736</v>
      </c>
      <c r="X47">
        <v>1.645</v>
      </c>
      <c r="Y47">
        <v>1.617</v>
      </c>
      <c r="Z47">
        <v>1.585</v>
      </c>
      <c r="AB47">
        <v>22</v>
      </c>
      <c r="AH47">
        <v>22</v>
      </c>
      <c r="AI47">
        <v>2.4289999999999998</v>
      </c>
      <c r="AJ47">
        <v>2.343</v>
      </c>
      <c r="AK47">
        <v>2.2109999999999999</v>
      </c>
      <c r="AL47">
        <v>2.0640000000000001</v>
      </c>
    </row>
    <row r="48" spans="1:38" x14ac:dyDescent="0.4">
      <c r="A48">
        <v>22</v>
      </c>
      <c r="B48">
        <v>1.504</v>
      </c>
      <c r="C48">
        <v>1.522</v>
      </c>
      <c r="D48">
        <v>1.512</v>
      </c>
      <c r="E48">
        <v>1.512</v>
      </c>
      <c r="F48">
        <v>1.512</v>
      </c>
      <c r="G48">
        <v>1.5089999999999999</v>
      </c>
      <c r="L48">
        <v>22</v>
      </c>
      <c r="M48">
        <v>1.9750000000000001</v>
      </c>
      <c r="N48">
        <v>1.8859999999999999</v>
      </c>
      <c r="O48">
        <v>1.7929999999999999</v>
      </c>
      <c r="P48">
        <v>1.702</v>
      </c>
      <c r="Q48">
        <v>1.6659999999999999</v>
      </c>
      <c r="R48">
        <v>1.653</v>
      </c>
      <c r="T48">
        <v>22</v>
      </c>
      <c r="U48">
        <v>1.911</v>
      </c>
      <c r="V48">
        <v>1.833</v>
      </c>
      <c r="W48">
        <v>1.736</v>
      </c>
      <c r="X48">
        <v>1.645</v>
      </c>
      <c r="Y48">
        <v>1.617</v>
      </c>
      <c r="Z48">
        <v>1.585</v>
      </c>
      <c r="AB48">
        <v>22</v>
      </c>
      <c r="AH48">
        <v>22</v>
      </c>
      <c r="AI48">
        <v>2.4390000000000001</v>
      </c>
      <c r="AJ48">
        <v>2.347</v>
      </c>
      <c r="AK48">
        <v>2.2109999999999999</v>
      </c>
      <c r="AL48">
        <v>2.0539999999999998</v>
      </c>
    </row>
    <row r="49" spans="1:38" x14ac:dyDescent="0.4">
      <c r="A49">
        <v>23</v>
      </c>
      <c r="B49">
        <v>1.512</v>
      </c>
      <c r="C49">
        <v>1.522</v>
      </c>
      <c r="D49">
        <v>1.512</v>
      </c>
      <c r="E49">
        <v>1.512</v>
      </c>
      <c r="F49">
        <v>1.512</v>
      </c>
      <c r="G49">
        <v>1.512</v>
      </c>
      <c r="L49">
        <v>23</v>
      </c>
      <c r="M49">
        <v>1.9650000000000001</v>
      </c>
      <c r="N49">
        <v>1.889</v>
      </c>
      <c r="O49">
        <v>1.7929999999999999</v>
      </c>
      <c r="P49">
        <v>1.702</v>
      </c>
      <c r="Q49">
        <v>1.663</v>
      </c>
      <c r="R49">
        <v>1.653</v>
      </c>
      <c r="T49">
        <v>23</v>
      </c>
      <c r="U49">
        <v>1.911</v>
      </c>
      <c r="V49">
        <v>1.833</v>
      </c>
      <c r="W49">
        <v>1.736</v>
      </c>
      <c r="X49">
        <v>1.645</v>
      </c>
      <c r="Y49">
        <v>1.607</v>
      </c>
      <c r="Z49">
        <v>1.587</v>
      </c>
      <c r="AB49">
        <v>23</v>
      </c>
      <c r="AH49">
        <v>23</v>
      </c>
      <c r="AI49">
        <v>2.4289999999999998</v>
      </c>
      <c r="AJ49">
        <v>2.347</v>
      </c>
      <c r="AK49">
        <v>2.19</v>
      </c>
      <c r="AL49">
        <v>2.0640000000000001</v>
      </c>
    </row>
    <row r="50" spans="1:38" x14ac:dyDescent="0.4">
      <c r="A50">
        <v>23</v>
      </c>
      <c r="B50">
        <v>1.504</v>
      </c>
      <c r="C50">
        <v>1.502</v>
      </c>
      <c r="D50">
        <v>1.512</v>
      </c>
      <c r="E50">
        <v>1.512</v>
      </c>
      <c r="F50">
        <v>1.5149999999999999</v>
      </c>
      <c r="G50">
        <v>1.522</v>
      </c>
      <c r="L50">
        <v>23</v>
      </c>
      <c r="M50">
        <v>1.9750000000000001</v>
      </c>
      <c r="N50">
        <v>1.889</v>
      </c>
      <c r="O50">
        <v>1.798</v>
      </c>
      <c r="P50">
        <v>1.7050000000000001</v>
      </c>
      <c r="Q50">
        <v>1.6559999999999999</v>
      </c>
      <c r="R50">
        <v>1.6559999999999999</v>
      </c>
      <c r="T50">
        <v>23</v>
      </c>
      <c r="U50">
        <v>1.911</v>
      </c>
      <c r="V50">
        <v>1.833</v>
      </c>
      <c r="W50">
        <v>1.7390000000000001</v>
      </c>
      <c r="X50">
        <v>1.645</v>
      </c>
      <c r="Y50">
        <v>1.607</v>
      </c>
      <c r="Z50">
        <v>1.587</v>
      </c>
      <c r="AB50">
        <v>23</v>
      </c>
      <c r="AH50">
        <v>23</v>
      </c>
      <c r="AI50">
        <v>2.4289999999999998</v>
      </c>
      <c r="AJ50">
        <v>2.343</v>
      </c>
      <c r="AK50">
        <v>2.1869999999999998</v>
      </c>
      <c r="AL50">
        <v>2.0539999999999998</v>
      </c>
    </row>
    <row r="51" spans="1:38" x14ac:dyDescent="0.4">
      <c r="A51">
        <v>24</v>
      </c>
      <c r="B51">
        <v>1.504</v>
      </c>
      <c r="C51">
        <v>1.5089999999999999</v>
      </c>
      <c r="D51">
        <v>1.512</v>
      </c>
      <c r="E51">
        <v>1.512</v>
      </c>
      <c r="F51">
        <v>1.5089999999999999</v>
      </c>
      <c r="G51">
        <v>1.522</v>
      </c>
      <c r="L51">
        <v>24</v>
      </c>
      <c r="M51">
        <v>1.962</v>
      </c>
      <c r="N51">
        <v>1.889</v>
      </c>
      <c r="O51">
        <v>1.8009999999999999</v>
      </c>
      <c r="P51">
        <v>1.7050000000000001</v>
      </c>
      <c r="Q51">
        <v>1.6659999999999999</v>
      </c>
      <c r="R51">
        <v>1.6459999999999999</v>
      </c>
      <c r="T51">
        <v>24</v>
      </c>
      <c r="U51">
        <v>1.9159999999999999</v>
      </c>
      <c r="V51">
        <v>1.833</v>
      </c>
      <c r="W51">
        <v>1.7390000000000001</v>
      </c>
      <c r="X51">
        <v>1.645</v>
      </c>
      <c r="Y51">
        <v>1.607</v>
      </c>
      <c r="Z51">
        <v>1.587</v>
      </c>
      <c r="AB51">
        <v>24</v>
      </c>
      <c r="AH51">
        <v>24</v>
      </c>
      <c r="AI51">
        <v>2.4449999999999998</v>
      </c>
      <c r="AJ51">
        <v>2.3519999999999999</v>
      </c>
      <c r="AK51">
        <v>2.2069999999999999</v>
      </c>
      <c r="AL51">
        <v>2.0640000000000001</v>
      </c>
    </row>
    <row r="52" spans="1:38" x14ac:dyDescent="0.4">
      <c r="A52">
        <v>24</v>
      </c>
      <c r="B52">
        <v>1.504</v>
      </c>
      <c r="C52">
        <v>1.5089999999999999</v>
      </c>
      <c r="D52">
        <v>1.5089999999999999</v>
      </c>
      <c r="E52">
        <v>1.522</v>
      </c>
      <c r="F52">
        <v>1.512</v>
      </c>
      <c r="G52">
        <v>1.512</v>
      </c>
      <c r="L52">
        <v>24</v>
      </c>
      <c r="M52">
        <v>1.962</v>
      </c>
      <c r="N52">
        <v>1.889</v>
      </c>
      <c r="O52">
        <v>1.796</v>
      </c>
      <c r="P52">
        <v>1.6950000000000001</v>
      </c>
      <c r="Q52">
        <v>1.6559999999999999</v>
      </c>
      <c r="R52">
        <v>1.6559999999999999</v>
      </c>
      <c r="T52">
        <v>24</v>
      </c>
      <c r="U52">
        <v>1.9159999999999999</v>
      </c>
      <c r="V52">
        <v>1.833</v>
      </c>
      <c r="W52">
        <v>1.7390000000000001</v>
      </c>
      <c r="X52">
        <v>1.645</v>
      </c>
      <c r="Y52">
        <v>1.605</v>
      </c>
      <c r="Z52">
        <v>1.587</v>
      </c>
      <c r="AB52">
        <v>24</v>
      </c>
      <c r="AH52">
        <v>24</v>
      </c>
      <c r="AI52">
        <v>2.4350000000000001</v>
      </c>
      <c r="AJ52">
        <v>2.343</v>
      </c>
      <c r="AK52">
        <v>2.2069999999999999</v>
      </c>
      <c r="AL52">
        <v>2.0640000000000001</v>
      </c>
    </row>
    <row r="53" spans="1:38" x14ac:dyDescent="0.4">
      <c r="A53">
        <v>25</v>
      </c>
      <c r="B53">
        <v>1.5009999999999999</v>
      </c>
      <c r="C53">
        <v>1.5089999999999999</v>
      </c>
      <c r="D53">
        <v>1.4990000000000001</v>
      </c>
      <c r="E53">
        <v>1.512</v>
      </c>
      <c r="F53">
        <v>1.504</v>
      </c>
      <c r="G53">
        <v>1.512</v>
      </c>
      <c r="L53">
        <v>25</v>
      </c>
      <c r="M53">
        <v>1.962</v>
      </c>
      <c r="N53">
        <v>1.889</v>
      </c>
      <c r="O53">
        <v>1.796</v>
      </c>
      <c r="P53">
        <v>1.7050000000000001</v>
      </c>
      <c r="Q53">
        <v>1.6659999999999999</v>
      </c>
      <c r="R53">
        <v>1.6559999999999999</v>
      </c>
      <c r="T53">
        <v>25</v>
      </c>
      <c r="U53">
        <v>1.911</v>
      </c>
      <c r="V53">
        <v>1.833</v>
      </c>
      <c r="W53">
        <v>1.7390000000000001</v>
      </c>
      <c r="X53">
        <v>1.645</v>
      </c>
      <c r="Y53">
        <v>1.605</v>
      </c>
      <c r="Z53">
        <v>1.585</v>
      </c>
      <c r="AB53">
        <v>25</v>
      </c>
      <c r="AH53">
        <v>25</v>
      </c>
      <c r="AI53">
        <v>2.4350000000000001</v>
      </c>
      <c r="AJ53">
        <v>2.3519999999999999</v>
      </c>
      <c r="AK53">
        <v>2.2069999999999999</v>
      </c>
      <c r="AL53">
        <v>2.0640000000000001</v>
      </c>
    </row>
    <row r="54" spans="1:38" x14ac:dyDescent="0.4">
      <c r="A54">
        <v>25</v>
      </c>
      <c r="B54">
        <v>1.504</v>
      </c>
      <c r="C54">
        <v>1.512</v>
      </c>
      <c r="D54">
        <v>1.4990000000000001</v>
      </c>
      <c r="E54">
        <v>1.512</v>
      </c>
      <c r="F54">
        <v>1.504</v>
      </c>
      <c r="G54">
        <v>1.512</v>
      </c>
      <c r="L54">
        <v>25</v>
      </c>
      <c r="M54">
        <v>1.9650000000000001</v>
      </c>
      <c r="N54">
        <v>1.889</v>
      </c>
      <c r="O54">
        <v>1.796</v>
      </c>
      <c r="P54">
        <v>1.702</v>
      </c>
      <c r="Q54">
        <v>1.6659999999999999</v>
      </c>
      <c r="R54">
        <v>1.6559999999999999</v>
      </c>
      <c r="T54">
        <v>25</v>
      </c>
      <c r="U54">
        <v>1.911</v>
      </c>
      <c r="V54">
        <v>1.833</v>
      </c>
      <c r="W54">
        <v>1.7390000000000001</v>
      </c>
      <c r="X54">
        <v>1.645</v>
      </c>
      <c r="Y54">
        <v>1.605</v>
      </c>
      <c r="Z54">
        <v>1.585</v>
      </c>
      <c r="AB54">
        <v>25</v>
      </c>
      <c r="AH54">
        <v>25</v>
      </c>
      <c r="AI54">
        <v>2.4350000000000001</v>
      </c>
      <c r="AJ54">
        <v>2.347</v>
      </c>
      <c r="AK54">
        <v>2.2109999999999999</v>
      </c>
      <c r="AL54">
        <v>2.0640000000000001</v>
      </c>
    </row>
    <row r="55" spans="1:38" x14ac:dyDescent="0.4">
      <c r="A55">
        <v>26</v>
      </c>
      <c r="B55">
        <v>1.504</v>
      </c>
      <c r="C55">
        <v>1.512</v>
      </c>
      <c r="D55">
        <v>1.4990000000000001</v>
      </c>
      <c r="E55">
        <v>1.5089999999999999</v>
      </c>
      <c r="F55">
        <v>1.5089999999999999</v>
      </c>
      <c r="G55">
        <v>1.4990000000000001</v>
      </c>
      <c r="L55">
        <v>26</v>
      </c>
      <c r="M55">
        <v>1.9650000000000001</v>
      </c>
      <c r="N55">
        <v>1.889</v>
      </c>
      <c r="O55">
        <v>1.796</v>
      </c>
      <c r="P55">
        <v>1.712</v>
      </c>
      <c r="Q55">
        <v>1.6559999999999999</v>
      </c>
      <c r="R55">
        <v>1.6559999999999999</v>
      </c>
      <c r="T55">
        <v>26</v>
      </c>
      <c r="U55">
        <v>1.911</v>
      </c>
      <c r="V55">
        <v>1.833</v>
      </c>
      <c r="W55">
        <v>1.7390000000000001</v>
      </c>
      <c r="X55">
        <v>1.645</v>
      </c>
      <c r="Y55">
        <v>1.607</v>
      </c>
      <c r="Z55">
        <v>1.585</v>
      </c>
      <c r="AB55">
        <v>26</v>
      </c>
      <c r="AH55">
        <v>26</v>
      </c>
      <c r="AI55">
        <v>2.4350000000000001</v>
      </c>
      <c r="AJ55">
        <v>2.343</v>
      </c>
      <c r="AK55">
        <v>2.2000000000000002</v>
      </c>
      <c r="AL55">
        <v>2.0539999999999998</v>
      </c>
    </row>
    <row r="56" spans="1:38" x14ac:dyDescent="0.4">
      <c r="A56">
        <v>26</v>
      </c>
      <c r="B56">
        <v>1.494</v>
      </c>
      <c r="C56">
        <v>1.512</v>
      </c>
      <c r="D56">
        <v>1.5089999999999999</v>
      </c>
      <c r="E56">
        <v>1.512</v>
      </c>
      <c r="F56">
        <v>1.512</v>
      </c>
      <c r="G56">
        <v>1.512</v>
      </c>
      <c r="L56">
        <v>26</v>
      </c>
      <c r="M56">
        <v>1.962</v>
      </c>
      <c r="N56">
        <v>1.889</v>
      </c>
      <c r="O56">
        <v>1.8109999999999999</v>
      </c>
      <c r="P56">
        <v>1.702</v>
      </c>
      <c r="Q56">
        <v>1.663</v>
      </c>
      <c r="R56">
        <v>1.653</v>
      </c>
      <c r="T56">
        <v>26</v>
      </c>
      <c r="U56">
        <v>1.9159999999999999</v>
      </c>
      <c r="V56">
        <v>1.833</v>
      </c>
      <c r="W56">
        <v>1.7390000000000001</v>
      </c>
      <c r="X56">
        <v>1.645</v>
      </c>
      <c r="Y56">
        <v>1.607</v>
      </c>
      <c r="Z56">
        <v>1.585</v>
      </c>
      <c r="AB56">
        <v>26</v>
      </c>
      <c r="AH56">
        <v>26</v>
      </c>
      <c r="AI56">
        <v>2.4390000000000001</v>
      </c>
      <c r="AJ56">
        <v>2.343</v>
      </c>
      <c r="AK56">
        <v>2.2000000000000002</v>
      </c>
      <c r="AL56">
        <v>2.0539999999999998</v>
      </c>
    </row>
    <row r="57" spans="1:38" x14ac:dyDescent="0.4">
      <c r="A57">
        <v>27</v>
      </c>
      <c r="B57">
        <v>1.504</v>
      </c>
      <c r="C57">
        <v>1.512</v>
      </c>
      <c r="D57">
        <v>1.502</v>
      </c>
      <c r="E57">
        <v>1.512</v>
      </c>
      <c r="F57">
        <v>1.52</v>
      </c>
      <c r="G57">
        <v>1.512</v>
      </c>
      <c r="L57">
        <v>27</v>
      </c>
      <c r="M57">
        <v>1.9650000000000001</v>
      </c>
      <c r="N57">
        <v>1.889</v>
      </c>
      <c r="O57">
        <v>1.8109999999999999</v>
      </c>
      <c r="P57">
        <v>1.702</v>
      </c>
      <c r="Q57">
        <v>1.6559999999999999</v>
      </c>
      <c r="R57">
        <v>1.6559999999999999</v>
      </c>
      <c r="T57">
        <v>27</v>
      </c>
      <c r="U57">
        <v>1.9159999999999999</v>
      </c>
      <c r="V57">
        <v>1.823</v>
      </c>
      <c r="W57">
        <v>1.7390000000000001</v>
      </c>
      <c r="X57">
        <v>1.655</v>
      </c>
      <c r="Y57">
        <v>1.607</v>
      </c>
      <c r="Z57">
        <v>1.585</v>
      </c>
      <c r="AB57">
        <v>27</v>
      </c>
      <c r="AH57">
        <v>27</v>
      </c>
      <c r="AI57">
        <v>2.4350000000000001</v>
      </c>
      <c r="AJ57">
        <v>2.343</v>
      </c>
      <c r="AK57">
        <v>2.2000000000000002</v>
      </c>
      <c r="AL57">
        <v>2.0539999999999998</v>
      </c>
    </row>
    <row r="58" spans="1:38" x14ac:dyDescent="0.4">
      <c r="A58">
        <v>27</v>
      </c>
      <c r="B58">
        <v>1.504</v>
      </c>
      <c r="C58">
        <v>1.512</v>
      </c>
      <c r="D58">
        <v>1.52</v>
      </c>
      <c r="E58">
        <v>1.512</v>
      </c>
      <c r="F58">
        <v>1.512</v>
      </c>
      <c r="G58">
        <v>1.5089999999999999</v>
      </c>
      <c r="L58">
        <v>27</v>
      </c>
      <c r="M58">
        <v>1.9650000000000001</v>
      </c>
      <c r="N58">
        <v>1.889</v>
      </c>
      <c r="O58">
        <v>1.7929999999999999</v>
      </c>
      <c r="P58">
        <v>1.7150000000000001</v>
      </c>
      <c r="Q58">
        <v>1.6659999999999999</v>
      </c>
      <c r="R58">
        <v>1.6459999999999999</v>
      </c>
      <c r="T58">
        <v>27</v>
      </c>
      <c r="U58">
        <v>1.9159999999999999</v>
      </c>
      <c r="V58">
        <v>1.833</v>
      </c>
      <c r="W58">
        <v>1.7390000000000001</v>
      </c>
      <c r="X58">
        <v>1.655</v>
      </c>
      <c r="Y58">
        <v>1.607</v>
      </c>
      <c r="Z58">
        <v>1.585</v>
      </c>
      <c r="AB58">
        <v>27</v>
      </c>
      <c r="AH58">
        <v>27</v>
      </c>
      <c r="AI58">
        <v>2.4350000000000001</v>
      </c>
      <c r="AJ58">
        <v>2.343</v>
      </c>
      <c r="AK58">
        <v>2.2170000000000001</v>
      </c>
      <c r="AL58">
        <v>2.0640000000000001</v>
      </c>
    </row>
    <row r="59" spans="1:38" x14ac:dyDescent="0.4">
      <c r="A59">
        <v>28</v>
      </c>
      <c r="B59">
        <v>1.504</v>
      </c>
      <c r="C59">
        <v>1.5189999999999999</v>
      </c>
      <c r="D59">
        <v>1.512</v>
      </c>
      <c r="E59">
        <v>1.5089999999999999</v>
      </c>
      <c r="F59">
        <v>1.512</v>
      </c>
      <c r="G59">
        <v>1.522</v>
      </c>
      <c r="L59">
        <v>28</v>
      </c>
      <c r="M59">
        <v>1.962</v>
      </c>
      <c r="N59">
        <v>1.879</v>
      </c>
      <c r="O59">
        <v>1.8009999999999999</v>
      </c>
      <c r="P59">
        <v>1.702</v>
      </c>
      <c r="Q59">
        <v>1.6759999999999999</v>
      </c>
      <c r="R59">
        <v>1.6459999999999999</v>
      </c>
      <c r="T59">
        <v>28</v>
      </c>
      <c r="U59">
        <v>1.911</v>
      </c>
      <c r="V59">
        <v>1.833</v>
      </c>
      <c r="W59">
        <v>1.734</v>
      </c>
      <c r="X59">
        <v>1.645</v>
      </c>
      <c r="Y59">
        <v>1.605</v>
      </c>
      <c r="Z59">
        <v>1.587</v>
      </c>
      <c r="AB59">
        <v>28</v>
      </c>
      <c r="AH59">
        <v>28</v>
      </c>
      <c r="AI59">
        <v>2.4350000000000001</v>
      </c>
      <c r="AJ59">
        <v>2.343</v>
      </c>
      <c r="AK59">
        <v>2.2000000000000002</v>
      </c>
      <c r="AL59">
        <v>2.0640000000000001</v>
      </c>
    </row>
    <row r="60" spans="1:38" x14ac:dyDescent="0.4">
      <c r="A60">
        <v>28</v>
      </c>
      <c r="B60">
        <v>1.494</v>
      </c>
      <c r="C60">
        <v>1.512</v>
      </c>
      <c r="D60">
        <v>1.512</v>
      </c>
      <c r="E60">
        <v>1.5089999999999999</v>
      </c>
      <c r="F60">
        <v>1.5089999999999999</v>
      </c>
      <c r="G60">
        <v>1.5089999999999999</v>
      </c>
      <c r="L60">
        <v>28</v>
      </c>
      <c r="M60">
        <v>1.962</v>
      </c>
      <c r="N60">
        <v>1.889</v>
      </c>
      <c r="O60">
        <v>1.8009999999999999</v>
      </c>
      <c r="P60">
        <v>1.7050000000000001</v>
      </c>
      <c r="Q60">
        <v>1.6559999999999999</v>
      </c>
      <c r="R60">
        <v>1.6559999999999999</v>
      </c>
      <c r="T60">
        <v>28</v>
      </c>
      <c r="U60">
        <v>1.911</v>
      </c>
      <c r="V60">
        <v>1.833</v>
      </c>
      <c r="W60">
        <v>1.734</v>
      </c>
      <c r="X60">
        <v>1.645</v>
      </c>
      <c r="Y60">
        <v>1.605</v>
      </c>
      <c r="Z60">
        <v>1.587</v>
      </c>
      <c r="AB60">
        <v>28</v>
      </c>
      <c r="AH60">
        <v>28</v>
      </c>
      <c r="AI60">
        <v>2.4350000000000001</v>
      </c>
      <c r="AJ60">
        <v>2.3479999999999999</v>
      </c>
      <c r="AK60">
        <v>2.2000000000000002</v>
      </c>
      <c r="AL60">
        <v>2.0579999999999998</v>
      </c>
    </row>
    <row r="61" spans="1:38" x14ac:dyDescent="0.4">
      <c r="A61">
        <v>29</v>
      </c>
      <c r="B61">
        <v>1.504</v>
      </c>
      <c r="C61">
        <v>1.5089999999999999</v>
      </c>
      <c r="D61">
        <v>1.4990000000000001</v>
      </c>
      <c r="E61">
        <v>1.512</v>
      </c>
      <c r="F61">
        <v>1.512</v>
      </c>
      <c r="G61">
        <v>1.4990000000000001</v>
      </c>
      <c r="L61">
        <v>29</v>
      </c>
      <c r="M61">
        <v>1.9650000000000001</v>
      </c>
      <c r="N61">
        <v>1.889</v>
      </c>
      <c r="O61">
        <v>1.786</v>
      </c>
      <c r="P61">
        <v>1.7050000000000001</v>
      </c>
      <c r="Q61">
        <v>1.6659999999999999</v>
      </c>
      <c r="R61">
        <v>1.6459999999999999</v>
      </c>
      <c r="T61">
        <v>29</v>
      </c>
      <c r="U61">
        <v>1.9159999999999999</v>
      </c>
      <c r="V61">
        <v>1.833</v>
      </c>
      <c r="W61">
        <v>1.7390000000000001</v>
      </c>
      <c r="X61">
        <v>1.645</v>
      </c>
      <c r="Y61">
        <v>1.605</v>
      </c>
      <c r="Z61">
        <v>1.587</v>
      </c>
      <c r="AB61">
        <v>29</v>
      </c>
      <c r="AH61">
        <v>29</v>
      </c>
      <c r="AI61">
        <v>2.42</v>
      </c>
      <c r="AJ61">
        <v>2.3479999999999999</v>
      </c>
      <c r="AK61">
        <v>2.2000000000000002</v>
      </c>
      <c r="AL61">
        <v>2.0640000000000001</v>
      </c>
    </row>
    <row r="62" spans="1:38" x14ac:dyDescent="0.4">
      <c r="A62">
        <v>29</v>
      </c>
      <c r="B62">
        <v>1.504</v>
      </c>
      <c r="C62">
        <v>1.5089999999999999</v>
      </c>
      <c r="D62">
        <v>1.4990000000000001</v>
      </c>
      <c r="E62">
        <v>1.5089999999999999</v>
      </c>
      <c r="F62">
        <v>1.512</v>
      </c>
      <c r="G62">
        <v>1.502</v>
      </c>
      <c r="L62">
        <v>29</v>
      </c>
      <c r="M62">
        <v>1.972</v>
      </c>
      <c r="N62">
        <v>1.879</v>
      </c>
      <c r="O62">
        <v>1.7929999999999999</v>
      </c>
      <c r="P62">
        <v>1.7050000000000001</v>
      </c>
      <c r="Q62">
        <v>1.663</v>
      </c>
      <c r="R62">
        <v>1.6559999999999999</v>
      </c>
      <c r="T62">
        <v>29</v>
      </c>
      <c r="U62">
        <v>1.9159999999999999</v>
      </c>
      <c r="V62">
        <v>1.833</v>
      </c>
      <c r="W62">
        <v>1.742</v>
      </c>
      <c r="X62">
        <v>1.645</v>
      </c>
      <c r="Y62">
        <v>1.605</v>
      </c>
      <c r="Z62">
        <v>1.5585</v>
      </c>
      <c r="AB62">
        <v>29</v>
      </c>
      <c r="AH62">
        <v>29</v>
      </c>
      <c r="AI62">
        <v>2.42</v>
      </c>
      <c r="AJ62">
        <v>2.3580000000000001</v>
      </c>
      <c r="AK62">
        <v>2.2109999999999999</v>
      </c>
      <c r="AL62">
        <v>2.0640000000000001</v>
      </c>
    </row>
    <row r="63" spans="1:38" x14ac:dyDescent="0.4">
      <c r="A63">
        <v>30</v>
      </c>
      <c r="B63">
        <v>1.514</v>
      </c>
      <c r="C63">
        <v>1.522</v>
      </c>
      <c r="D63">
        <v>1.502</v>
      </c>
      <c r="E63">
        <v>1.512</v>
      </c>
      <c r="F63">
        <v>1.502</v>
      </c>
      <c r="G63">
        <v>1.512</v>
      </c>
      <c r="L63">
        <v>30</v>
      </c>
      <c r="M63">
        <v>1.962</v>
      </c>
      <c r="N63">
        <v>1.889</v>
      </c>
      <c r="O63">
        <v>1.8009999999999999</v>
      </c>
      <c r="P63">
        <v>1.702</v>
      </c>
      <c r="Q63">
        <v>1.6559999999999999</v>
      </c>
      <c r="R63">
        <v>1.6559999999999999</v>
      </c>
      <c r="T63">
        <v>30</v>
      </c>
      <c r="U63">
        <v>1.9159999999999999</v>
      </c>
      <c r="V63">
        <v>1.833</v>
      </c>
      <c r="W63">
        <v>1.734</v>
      </c>
      <c r="X63">
        <v>1.645</v>
      </c>
      <c r="Y63">
        <v>1.607</v>
      </c>
      <c r="Z63">
        <v>1.585</v>
      </c>
      <c r="AB63">
        <v>30</v>
      </c>
      <c r="AH63">
        <v>30</v>
      </c>
      <c r="AI63">
        <v>2.4350000000000001</v>
      </c>
      <c r="AJ63">
        <v>2.343</v>
      </c>
      <c r="AK63">
        <v>2.2109999999999999</v>
      </c>
      <c r="AL63">
        <v>2.0710000000000002</v>
      </c>
    </row>
    <row r="64" spans="1:38" x14ac:dyDescent="0.4">
      <c r="A64">
        <v>30</v>
      </c>
      <c r="B64">
        <v>1.494</v>
      </c>
      <c r="C64">
        <v>1.522</v>
      </c>
      <c r="D64">
        <v>1.512</v>
      </c>
      <c r="E64">
        <v>1.512</v>
      </c>
      <c r="F64">
        <v>1.502</v>
      </c>
      <c r="G64">
        <v>1.502</v>
      </c>
      <c r="L64">
        <v>30</v>
      </c>
      <c r="M64">
        <v>1.962</v>
      </c>
      <c r="N64">
        <v>1.889</v>
      </c>
      <c r="O64">
        <v>1.8009999999999999</v>
      </c>
      <c r="P64">
        <v>1.7050000000000001</v>
      </c>
      <c r="Q64">
        <v>1.6559999999999999</v>
      </c>
      <c r="R64">
        <v>1.6559999999999999</v>
      </c>
      <c r="T64">
        <v>30</v>
      </c>
      <c r="U64">
        <v>1.9159999999999999</v>
      </c>
      <c r="V64">
        <v>1.833</v>
      </c>
      <c r="W64">
        <v>1.742</v>
      </c>
      <c r="X64">
        <v>1.645</v>
      </c>
      <c r="Y64">
        <v>1.607</v>
      </c>
      <c r="Z64">
        <v>1.585</v>
      </c>
      <c r="AB64">
        <v>30</v>
      </c>
      <c r="AH64">
        <v>30</v>
      </c>
      <c r="AI64">
        <v>2.4300000000000002</v>
      </c>
      <c r="AJ64">
        <v>2.347</v>
      </c>
      <c r="AK64">
        <v>2.2000000000000002</v>
      </c>
      <c r="AL64">
        <v>2.0640000000000001</v>
      </c>
    </row>
    <row r="65" spans="1:38" x14ac:dyDescent="0.4">
      <c r="B65">
        <f>AVERAGE(B3:B64)</f>
        <v>1.5054032258064525</v>
      </c>
      <c r="C65">
        <f t="shared" ref="C65:D65" si="0">AVERAGE(C3:C64)</f>
        <v>1.5122096774193554</v>
      </c>
      <c r="D65">
        <f t="shared" si="0"/>
        <v>1.5075322580645159</v>
      </c>
      <c r="E65">
        <f>AVERAGE(E3:E64)</f>
        <v>1.5123709677419359</v>
      </c>
      <c r="F65">
        <f>AVERAGE(F3:F64)</f>
        <v>1.5099516129032262</v>
      </c>
      <c r="G65">
        <f>AVERAGE(G3:G64)</f>
        <v>1.5109193548387099</v>
      </c>
      <c r="M65">
        <f t="shared" ref="M65:R65" si="1">AVERAGE(M3:M64)</f>
        <v>1.9663225806451616</v>
      </c>
      <c r="N65">
        <f t="shared" si="1"/>
        <v>1.8869838709677409</v>
      </c>
      <c r="O65">
        <f t="shared" si="1"/>
        <v>1.7988709677419374</v>
      </c>
      <c r="P65">
        <f t="shared" si="1"/>
        <v>1.7064838709677419</v>
      </c>
      <c r="Q65">
        <f t="shared" si="1"/>
        <v>1.6622096774193542</v>
      </c>
      <c r="R65">
        <f t="shared" si="1"/>
        <v>1.6520161290322599</v>
      </c>
      <c r="U65">
        <f>AVERAGE(U3:U64)</f>
        <v>1.9134999999999995</v>
      </c>
      <c r="V65">
        <f t="shared" ref="V65:Z65" si="2">AVERAGE(V3:V64)</f>
        <v>1.8320322580645148</v>
      </c>
      <c r="W65">
        <f t="shared" si="2"/>
        <v>1.7371612903225813</v>
      </c>
      <c r="X65">
        <f t="shared" si="2"/>
        <v>1.647564516129032</v>
      </c>
      <c r="Y65">
        <f t="shared" si="2"/>
        <v>1.6071612903225807</v>
      </c>
      <c r="Z65">
        <f t="shared" si="2"/>
        <v>1.5851854838709671</v>
      </c>
      <c r="AI65">
        <f>AVERAGE(AI3:AI64)</f>
        <v>2.4355806451612909</v>
      </c>
      <c r="AJ65">
        <f t="shared" ref="AJ65:AL65" si="3">AVERAGE(AJ3:AJ64)</f>
        <v>2.3450483870967749</v>
      </c>
      <c r="AK65">
        <f t="shared" si="3"/>
        <v>2.2052903225806451</v>
      </c>
      <c r="AL65">
        <f t="shared" si="3"/>
        <v>2.058951612903225</v>
      </c>
    </row>
    <row r="66" spans="1:38" x14ac:dyDescent="0.4">
      <c r="A66" t="s">
        <v>6</v>
      </c>
      <c r="B66" t="s">
        <v>7</v>
      </c>
      <c r="C66" t="s">
        <v>8</v>
      </c>
      <c r="D66" t="s">
        <v>9</v>
      </c>
      <c r="E66" t="s">
        <v>8</v>
      </c>
      <c r="F66" t="s">
        <v>9</v>
      </c>
      <c r="G66" t="s">
        <v>7</v>
      </c>
      <c r="L66" t="s">
        <v>6</v>
      </c>
    </row>
    <row r="79" spans="1:38" x14ac:dyDescent="0.4">
      <c r="AE79" t="s">
        <v>21</v>
      </c>
      <c r="AF79" t="s">
        <v>22</v>
      </c>
    </row>
    <row r="80" spans="1:38" x14ac:dyDescent="0.4">
      <c r="AD80" t="s">
        <v>13</v>
      </c>
      <c r="AE80">
        <v>1.9279999999999999</v>
      </c>
      <c r="AF80">
        <v>2.4355000000000002</v>
      </c>
    </row>
    <row r="81" spans="11:36" x14ac:dyDescent="0.4">
      <c r="AD81" t="s">
        <v>14</v>
      </c>
      <c r="AE81">
        <v>1.9</v>
      </c>
      <c r="AF81">
        <v>2.3450000000000002</v>
      </c>
    </row>
    <row r="82" spans="11:36" x14ac:dyDescent="0.4">
      <c r="AD82" t="s">
        <v>15</v>
      </c>
      <c r="AE82">
        <v>1.8180000000000001</v>
      </c>
      <c r="AF82">
        <v>2.2052</v>
      </c>
    </row>
    <row r="83" spans="11:36" x14ac:dyDescent="0.4">
      <c r="AD83" t="s">
        <v>16</v>
      </c>
      <c r="AE83">
        <v>1.776</v>
      </c>
      <c r="AF83">
        <v>2.0589</v>
      </c>
    </row>
    <row r="86" spans="11:36" x14ac:dyDescent="0.4">
      <c r="AA86">
        <v>1.9279999999999999</v>
      </c>
      <c r="AB86">
        <v>1.9</v>
      </c>
      <c r="AC86">
        <v>1.8180000000000001</v>
      </c>
      <c r="AD86">
        <v>1.776</v>
      </c>
      <c r="AG86">
        <v>2.4355000000000002</v>
      </c>
      <c r="AH86">
        <v>2.3450000000000002</v>
      </c>
      <c r="AI86">
        <v>2.2052</v>
      </c>
      <c r="AJ86">
        <v>2.0589</v>
      </c>
    </row>
    <row r="95" spans="11:36" x14ac:dyDescent="0.4">
      <c r="L95" t="s">
        <v>17</v>
      </c>
      <c r="M95" t="s">
        <v>18</v>
      </c>
      <c r="N95" t="s">
        <v>94</v>
      </c>
    </row>
    <row r="96" spans="11:36" x14ac:dyDescent="0.4">
      <c r="K96" t="s">
        <v>0</v>
      </c>
      <c r="L96">
        <f>M65</f>
        <v>1.9663225806451616</v>
      </c>
      <c r="M96">
        <f>U65</f>
        <v>1.9134999999999995</v>
      </c>
      <c r="N96">
        <v>0.54200000000000004</v>
      </c>
      <c r="O96">
        <f>L96-N96</f>
        <v>1.4243225806451616</v>
      </c>
      <c r="P96">
        <f>M96-N96</f>
        <v>1.3714999999999995</v>
      </c>
      <c r="Q96">
        <f>L96-M96</f>
        <v>5.2822580645162098E-2</v>
      </c>
    </row>
    <row r="97" spans="11:17" x14ac:dyDescent="0.4">
      <c r="K97" t="s">
        <v>1</v>
      </c>
      <c r="L97">
        <f>N65</f>
        <v>1.8869838709677409</v>
      </c>
      <c r="M97">
        <f>V65</f>
        <v>1.8320322580645148</v>
      </c>
      <c r="N97">
        <v>0.46600000000000003</v>
      </c>
      <c r="O97">
        <f t="shared" ref="O97:O101" si="4">L97-N97</f>
        <v>1.4209838709677409</v>
      </c>
      <c r="P97">
        <f t="shared" ref="P97:P101" si="5">M97-N97</f>
        <v>1.3660322580645148</v>
      </c>
      <c r="Q97">
        <f t="shared" ref="Q97:Q100" si="6">L97-M97</f>
        <v>5.4951612903226144E-2</v>
      </c>
    </row>
    <row r="98" spans="11:17" x14ac:dyDescent="0.4">
      <c r="K98" t="s">
        <v>2</v>
      </c>
      <c r="L98">
        <f>O65</f>
        <v>1.7988709677419374</v>
      </c>
      <c r="M98">
        <f>W65</f>
        <v>1.7371612903225813</v>
      </c>
      <c r="N98">
        <v>0.36799999999999999</v>
      </c>
      <c r="O98">
        <f t="shared" si="4"/>
        <v>1.4308709677419373</v>
      </c>
      <c r="P98">
        <f t="shared" si="5"/>
        <v>1.3691612903225812</v>
      </c>
      <c r="Q98">
        <f t="shared" si="6"/>
        <v>6.1709677419356179E-2</v>
      </c>
    </row>
    <row r="99" spans="11:17" x14ac:dyDescent="0.4">
      <c r="K99" t="s">
        <v>3</v>
      </c>
      <c r="L99">
        <f>P65</f>
        <v>1.7064838709677419</v>
      </c>
      <c r="M99">
        <f>X65</f>
        <v>1.647564516129032</v>
      </c>
      <c r="N99">
        <v>0.27</v>
      </c>
      <c r="O99">
        <f t="shared" si="4"/>
        <v>1.4364838709677419</v>
      </c>
      <c r="P99">
        <f t="shared" si="5"/>
        <v>1.377564516129032</v>
      </c>
      <c r="Q99">
        <f t="shared" si="6"/>
        <v>5.8919354838709914E-2</v>
      </c>
    </row>
    <row r="100" spans="11:17" x14ac:dyDescent="0.4">
      <c r="K100" t="s">
        <v>4</v>
      </c>
      <c r="L100">
        <f>Q65</f>
        <v>1.6622096774193542</v>
      </c>
      <c r="M100">
        <f>Y65</f>
        <v>1.6071612903225807</v>
      </c>
      <c r="N100">
        <v>0.22</v>
      </c>
      <c r="O100">
        <f t="shared" si="4"/>
        <v>1.4422096774193542</v>
      </c>
      <c r="P100">
        <f t="shared" si="5"/>
        <v>1.3871612903225807</v>
      </c>
      <c r="Q100">
        <f t="shared" si="6"/>
        <v>5.504838709677351E-2</v>
      </c>
    </row>
    <row r="101" spans="11:17" x14ac:dyDescent="0.4">
      <c r="K101" t="s">
        <v>5</v>
      </c>
      <c r="L101">
        <f>R65</f>
        <v>1.6520161290322599</v>
      </c>
      <c r="M101">
        <f>Z65</f>
        <v>1.5851854838709671</v>
      </c>
      <c r="N101">
        <v>0.19700000000000001</v>
      </c>
      <c r="O101">
        <f t="shared" si="4"/>
        <v>1.4550161290322599</v>
      </c>
      <c r="P101">
        <f t="shared" si="5"/>
        <v>1.3881854838709671</v>
      </c>
      <c r="Q101">
        <f>L101-M101</f>
        <v>6.6830645161292779E-2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29"/>
  <sheetViews>
    <sheetView zoomScaleNormal="100" workbookViewId="0">
      <selection activeCell="A90" sqref="A90"/>
    </sheetView>
  </sheetViews>
  <sheetFormatPr defaultRowHeight="18.75" x14ac:dyDescent="0.4"/>
  <cols>
    <col min="1" max="1" width="11.125" customWidth="1"/>
    <col min="15" max="15" width="9.375" bestFit="1" customWidth="1"/>
  </cols>
  <sheetData>
    <row r="1" spans="2:28" x14ac:dyDescent="0.4">
      <c r="B1" s="2" t="s">
        <v>34</v>
      </c>
      <c r="L1" t="s">
        <v>53</v>
      </c>
      <c r="V1" t="s">
        <v>91</v>
      </c>
    </row>
    <row r="2" spans="2:28" x14ac:dyDescent="0.4">
      <c r="B2" t="s">
        <v>17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135</v>
      </c>
      <c r="L2" t="s">
        <v>54</v>
      </c>
      <c r="M2" t="s">
        <v>55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V2" t="s">
        <v>17</v>
      </c>
      <c r="W2" t="s">
        <v>0</v>
      </c>
      <c r="X2" t="s">
        <v>1</v>
      </c>
      <c r="Y2" t="s">
        <v>2</v>
      </c>
      <c r="Z2" t="s">
        <v>3</v>
      </c>
      <c r="AA2" t="s">
        <v>4</v>
      </c>
      <c r="AB2" t="s">
        <v>5</v>
      </c>
    </row>
    <row r="3" spans="2:28" x14ac:dyDescent="0.4">
      <c r="B3">
        <v>0</v>
      </c>
      <c r="C3">
        <v>1.8859999999999999</v>
      </c>
      <c r="D3">
        <v>1.8149999999999999</v>
      </c>
      <c r="E3">
        <v>1.726</v>
      </c>
      <c r="F3">
        <v>1.6359999999999999</v>
      </c>
      <c r="G3">
        <v>1.585</v>
      </c>
      <c r="H3">
        <v>1.5720000000000001</v>
      </c>
      <c r="I3">
        <v>1.552</v>
      </c>
      <c r="L3">
        <v>0</v>
      </c>
      <c r="M3">
        <v>1.512</v>
      </c>
      <c r="N3">
        <v>1.5149999999999999</v>
      </c>
      <c r="O3">
        <v>1.5089999999999999</v>
      </c>
      <c r="P3" s="5">
        <v>1.4990000000000001</v>
      </c>
      <c r="Q3" s="5">
        <v>1.504</v>
      </c>
      <c r="R3" s="5">
        <v>1.504</v>
      </c>
      <c r="V3">
        <v>0</v>
      </c>
      <c r="Y3">
        <v>1.722</v>
      </c>
    </row>
    <row r="4" spans="2:28" x14ac:dyDescent="0.4">
      <c r="B4">
        <v>0</v>
      </c>
      <c r="C4">
        <v>1.899</v>
      </c>
      <c r="D4">
        <v>1.8149999999999999</v>
      </c>
      <c r="E4">
        <v>1.7190000000000001</v>
      </c>
      <c r="F4">
        <v>1.633</v>
      </c>
      <c r="G4">
        <v>1.585</v>
      </c>
      <c r="H4">
        <v>1.575</v>
      </c>
      <c r="I4">
        <v>1.552</v>
      </c>
      <c r="L4">
        <v>0</v>
      </c>
      <c r="M4">
        <v>1.512</v>
      </c>
      <c r="N4">
        <v>1.5149999999999999</v>
      </c>
      <c r="O4">
        <v>1.496</v>
      </c>
      <c r="P4">
        <v>1.4990000000000001</v>
      </c>
      <c r="Q4">
        <v>1.504</v>
      </c>
      <c r="R4">
        <v>1.504</v>
      </c>
      <c r="V4">
        <v>0</v>
      </c>
      <c r="Y4">
        <v>1.7290000000000001</v>
      </c>
    </row>
    <row r="5" spans="2:28" x14ac:dyDescent="0.4">
      <c r="B5">
        <v>1</v>
      </c>
      <c r="C5">
        <v>1.8959999999999999</v>
      </c>
      <c r="D5">
        <v>1.8149999999999999</v>
      </c>
      <c r="E5">
        <v>1.7190000000000001</v>
      </c>
      <c r="F5">
        <v>1.6359999999999999</v>
      </c>
      <c r="G5">
        <v>1.5780000000000001</v>
      </c>
      <c r="H5">
        <v>1.5669999999999999</v>
      </c>
      <c r="I5">
        <v>1.55</v>
      </c>
      <c r="L5">
        <v>1</v>
      </c>
      <c r="M5">
        <v>1.512</v>
      </c>
      <c r="N5">
        <v>1.492</v>
      </c>
      <c r="O5">
        <v>1.5089999999999999</v>
      </c>
      <c r="P5">
        <v>1.4990000000000001</v>
      </c>
      <c r="Q5">
        <v>1.5169999999999999</v>
      </c>
      <c r="R5">
        <v>1.5009999999999999</v>
      </c>
      <c r="V5">
        <v>1</v>
      </c>
      <c r="Y5">
        <v>1.722</v>
      </c>
    </row>
    <row r="6" spans="2:28" x14ac:dyDescent="0.4">
      <c r="B6">
        <v>1</v>
      </c>
      <c r="C6">
        <v>1.8959999999999999</v>
      </c>
      <c r="D6">
        <v>1.8180000000000001</v>
      </c>
      <c r="E6">
        <v>1.7290000000000001</v>
      </c>
      <c r="F6">
        <v>1.6359999999999999</v>
      </c>
      <c r="G6">
        <v>1.5980000000000001</v>
      </c>
      <c r="H6">
        <v>1.575</v>
      </c>
      <c r="I6">
        <v>1.552</v>
      </c>
      <c r="L6">
        <v>1</v>
      </c>
      <c r="M6">
        <v>1.512</v>
      </c>
      <c r="N6">
        <v>1.492</v>
      </c>
      <c r="O6">
        <v>1.5089999999999999</v>
      </c>
      <c r="P6">
        <v>1.4990000000000001</v>
      </c>
      <c r="Q6">
        <v>1.504</v>
      </c>
      <c r="R6">
        <v>1.5009999999999999</v>
      </c>
      <c r="V6">
        <v>1</v>
      </c>
      <c r="Y6">
        <v>1.7190000000000001</v>
      </c>
    </row>
    <row r="7" spans="2:28" x14ac:dyDescent="0.4">
      <c r="B7">
        <v>2</v>
      </c>
      <c r="C7">
        <v>1.889</v>
      </c>
      <c r="D7">
        <v>1.8049999999999999</v>
      </c>
      <c r="E7">
        <v>1.7290000000000001</v>
      </c>
      <c r="F7">
        <v>1.633</v>
      </c>
      <c r="G7">
        <v>1.5980000000000001</v>
      </c>
      <c r="H7">
        <v>1.575</v>
      </c>
      <c r="I7">
        <v>1.552</v>
      </c>
      <c r="L7">
        <v>2</v>
      </c>
      <c r="M7">
        <v>1.512</v>
      </c>
      <c r="N7">
        <v>1.502</v>
      </c>
      <c r="O7">
        <v>1.4990000000000001</v>
      </c>
      <c r="P7">
        <v>1.5089999999999999</v>
      </c>
      <c r="Q7">
        <v>1.494</v>
      </c>
      <c r="R7">
        <v>1.5009999999999999</v>
      </c>
      <c r="V7">
        <v>2</v>
      </c>
      <c r="Y7">
        <v>1.7190000000000001</v>
      </c>
    </row>
    <row r="8" spans="2:28" x14ac:dyDescent="0.4">
      <c r="B8">
        <v>2</v>
      </c>
      <c r="C8">
        <v>1.8859999999999999</v>
      </c>
      <c r="D8">
        <v>1.8049999999999999</v>
      </c>
      <c r="E8">
        <v>1.7290000000000001</v>
      </c>
      <c r="F8">
        <v>1.633</v>
      </c>
      <c r="G8">
        <v>1.5980000000000001</v>
      </c>
      <c r="H8">
        <v>1.5720000000000001</v>
      </c>
      <c r="I8">
        <v>1.552</v>
      </c>
      <c r="L8">
        <v>2</v>
      </c>
      <c r="M8">
        <v>1.512</v>
      </c>
      <c r="N8">
        <v>1.502</v>
      </c>
      <c r="O8">
        <v>1.4990000000000001</v>
      </c>
      <c r="P8">
        <v>1.506</v>
      </c>
      <c r="Q8">
        <v>1.494</v>
      </c>
      <c r="R8">
        <v>1.494</v>
      </c>
      <c r="V8">
        <v>2</v>
      </c>
      <c r="Y8">
        <v>1.7190000000000001</v>
      </c>
    </row>
    <row r="9" spans="2:28" x14ac:dyDescent="0.4">
      <c r="B9">
        <v>3</v>
      </c>
      <c r="C9">
        <v>1.8959999999999999</v>
      </c>
      <c r="D9">
        <v>1.8149999999999999</v>
      </c>
      <c r="E9">
        <v>1.7190000000000001</v>
      </c>
      <c r="F9">
        <v>1.633</v>
      </c>
      <c r="G9">
        <v>1.5880000000000001</v>
      </c>
      <c r="H9">
        <v>1.57</v>
      </c>
      <c r="I9">
        <v>1.54</v>
      </c>
      <c r="L9">
        <v>3</v>
      </c>
      <c r="M9">
        <v>1.512</v>
      </c>
      <c r="N9">
        <v>1.502</v>
      </c>
      <c r="O9">
        <v>1.4990000000000001</v>
      </c>
      <c r="P9">
        <v>1.496</v>
      </c>
      <c r="Q9">
        <v>1.494</v>
      </c>
      <c r="R9">
        <v>1.494</v>
      </c>
      <c r="V9">
        <v>3</v>
      </c>
      <c r="Y9">
        <v>1.7190000000000001</v>
      </c>
    </row>
    <row r="10" spans="2:28" x14ac:dyDescent="0.4">
      <c r="B10">
        <v>3</v>
      </c>
      <c r="C10">
        <v>1.8959999999999999</v>
      </c>
      <c r="D10">
        <v>1.8149999999999999</v>
      </c>
      <c r="E10">
        <v>1.7290000000000001</v>
      </c>
      <c r="F10">
        <v>1.633</v>
      </c>
      <c r="G10">
        <v>1.5880000000000001</v>
      </c>
      <c r="H10">
        <v>1.57</v>
      </c>
      <c r="I10">
        <v>1.552</v>
      </c>
      <c r="L10">
        <v>3</v>
      </c>
      <c r="M10">
        <v>1.512</v>
      </c>
      <c r="N10">
        <v>1.512</v>
      </c>
      <c r="O10">
        <v>1.5089999999999999</v>
      </c>
      <c r="P10">
        <v>1.496</v>
      </c>
      <c r="Q10">
        <v>1.504</v>
      </c>
      <c r="R10">
        <v>1.494</v>
      </c>
      <c r="V10">
        <v>3</v>
      </c>
      <c r="Y10">
        <v>1.7290000000000001</v>
      </c>
    </row>
    <row r="11" spans="2:28" x14ac:dyDescent="0.4">
      <c r="B11">
        <v>4</v>
      </c>
      <c r="C11">
        <v>1.889</v>
      </c>
      <c r="D11">
        <v>1.8149999999999999</v>
      </c>
      <c r="E11">
        <v>1.7190000000000001</v>
      </c>
      <c r="F11">
        <v>1.643</v>
      </c>
      <c r="G11">
        <v>1.5880000000000001</v>
      </c>
      <c r="H11">
        <v>1.56</v>
      </c>
      <c r="I11">
        <v>1.552</v>
      </c>
      <c r="L11">
        <v>4</v>
      </c>
      <c r="M11">
        <v>1.512</v>
      </c>
      <c r="N11">
        <v>1.502</v>
      </c>
      <c r="O11">
        <v>1.5189999999999999</v>
      </c>
      <c r="P11">
        <v>1.5089999999999999</v>
      </c>
      <c r="Q11">
        <v>1.504</v>
      </c>
      <c r="R11">
        <v>1.506</v>
      </c>
      <c r="V11">
        <v>4</v>
      </c>
      <c r="Y11">
        <v>1.7190000000000001</v>
      </c>
    </row>
    <row r="12" spans="2:28" x14ac:dyDescent="0.4">
      <c r="B12">
        <v>4</v>
      </c>
      <c r="C12">
        <v>1.899</v>
      </c>
      <c r="D12">
        <v>1.8049999999999999</v>
      </c>
      <c r="E12">
        <v>1.7190000000000001</v>
      </c>
      <c r="F12">
        <v>1.633</v>
      </c>
      <c r="G12">
        <v>1.5880000000000001</v>
      </c>
      <c r="H12">
        <v>1.5720000000000001</v>
      </c>
      <c r="I12">
        <v>1.542</v>
      </c>
      <c r="L12">
        <v>4</v>
      </c>
      <c r="M12">
        <v>1.512</v>
      </c>
      <c r="N12">
        <v>1.502</v>
      </c>
      <c r="O12">
        <v>1.5089999999999999</v>
      </c>
      <c r="P12">
        <v>1.496</v>
      </c>
      <c r="Q12">
        <v>1.496</v>
      </c>
      <c r="R12">
        <v>1.504</v>
      </c>
      <c r="V12">
        <v>4</v>
      </c>
      <c r="Y12">
        <v>1.722</v>
      </c>
    </row>
    <row r="13" spans="2:28" x14ac:dyDescent="0.4">
      <c r="B13">
        <v>5</v>
      </c>
      <c r="C13">
        <v>1.9450000000000001</v>
      </c>
      <c r="D13">
        <v>1.8049999999999999</v>
      </c>
      <c r="E13">
        <v>1.722</v>
      </c>
      <c r="F13">
        <v>1.643</v>
      </c>
      <c r="G13">
        <v>1.5980000000000001</v>
      </c>
      <c r="H13">
        <v>1.57</v>
      </c>
      <c r="I13">
        <v>1.54</v>
      </c>
      <c r="L13">
        <v>5</v>
      </c>
      <c r="M13">
        <v>1.4990000000000001</v>
      </c>
      <c r="N13">
        <v>1.512</v>
      </c>
      <c r="O13">
        <v>1.5089999999999999</v>
      </c>
      <c r="P13">
        <v>1.5089999999999999</v>
      </c>
      <c r="Q13">
        <v>1.494</v>
      </c>
      <c r="R13">
        <v>1.5089999999999999</v>
      </c>
      <c r="V13">
        <v>5</v>
      </c>
      <c r="Y13">
        <v>1.7190000000000001</v>
      </c>
    </row>
    <row r="14" spans="2:28" x14ac:dyDescent="0.4">
      <c r="B14">
        <v>5</v>
      </c>
      <c r="C14">
        <v>1.889</v>
      </c>
      <c r="D14">
        <v>1.8149999999999999</v>
      </c>
      <c r="E14">
        <v>1.7290000000000001</v>
      </c>
      <c r="F14">
        <v>1.633</v>
      </c>
      <c r="G14">
        <v>1.585</v>
      </c>
      <c r="H14">
        <v>1.5669999999999999</v>
      </c>
      <c r="I14">
        <v>1.54</v>
      </c>
      <c r="L14">
        <v>5</v>
      </c>
      <c r="M14">
        <v>1.5089999999999999</v>
      </c>
      <c r="N14">
        <v>1.492</v>
      </c>
      <c r="O14">
        <v>1.5089999999999999</v>
      </c>
      <c r="P14">
        <v>1.4990000000000001</v>
      </c>
      <c r="Q14">
        <v>1.494</v>
      </c>
      <c r="R14">
        <v>1.506</v>
      </c>
      <c r="V14">
        <v>5</v>
      </c>
      <c r="Y14">
        <v>1.7190000000000001</v>
      </c>
    </row>
    <row r="15" spans="2:28" x14ac:dyDescent="0.4">
      <c r="B15">
        <v>6</v>
      </c>
      <c r="C15">
        <v>1.889</v>
      </c>
      <c r="D15">
        <v>1.8149999999999999</v>
      </c>
      <c r="E15">
        <v>1.7290000000000001</v>
      </c>
      <c r="F15">
        <v>1.643</v>
      </c>
      <c r="G15">
        <v>1.595</v>
      </c>
      <c r="H15">
        <v>1.57</v>
      </c>
      <c r="I15">
        <v>1.542</v>
      </c>
      <c r="L15">
        <v>6</v>
      </c>
      <c r="M15">
        <v>1.512</v>
      </c>
      <c r="N15">
        <v>1.5149999999999999</v>
      </c>
      <c r="O15">
        <v>1.506</v>
      </c>
      <c r="P15">
        <v>1.4990000000000001</v>
      </c>
      <c r="Q15">
        <v>1.506</v>
      </c>
      <c r="R15">
        <v>1.5089999999999999</v>
      </c>
      <c r="V15">
        <v>6</v>
      </c>
      <c r="Y15">
        <v>1.722</v>
      </c>
    </row>
    <row r="16" spans="2:28" x14ac:dyDescent="0.4">
      <c r="B16">
        <v>6</v>
      </c>
      <c r="C16">
        <v>1.889</v>
      </c>
      <c r="D16">
        <v>1.8120000000000001</v>
      </c>
      <c r="E16">
        <v>1.722</v>
      </c>
      <c r="F16">
        <v>1.633</v>
      </c>
      <c r="G16">
        <v>1.595</v>
      </c>
      <c r="H16">
        <v>1.57</v>
      </c>
      <c r="I16">
        <v>1.542</v>
      </c>
      <c r="L16">
        <v>6</v>
      </c>
      <c r="M16">
        <v>1.502</v>
      </c>
      <c r="N16">
        <v>1.5149999999999999</v>
      </c>
      <c r="O16">
        <v>1.5089999999999999</v>
      </c>
      <c r="P16">
        <v>1.5089999999999999</v>
      </c>
      <c r="Q16">
        <v>1.504</v>
      </c>
      <c r="R16">
        <v>1.506</v>
      </c>
      <c r="V16">
        <v>6</v>
      </c>
      <c r="Y16">
        <v>1.7090000000000001</v>
      </c>
    </row>
    <row r="17" spans="2:25" x14ac:dyDescent="0.4">
      <c r="B17">
        <v>7</v>
      </c>
      <c r="C17">
        <v>1.889</v>
      </c>
      <c r="D17">
        <v>1.8120000000000001</v>
      </c>
      <c r="E17">
        <v>1.7290000000000001</v>
      </c>
      <c r="F17">
        <v>1.633</v>
      </c>
      <c r="G17">
        <v>1.5980000000000001</v>
      </c>
      <c r="H17">
        <v>1.57</v>
      </c>
      <c r="I17">
        <v>1.542</v>
      </c>
      <c r="L17">
        <v>7</v>
      </c>
      <c r="M17">
        <v>1.502</v>
      </c>
      <c r="N17">
        <v>1.5149999999999999</v>
      </c>
      <c r="O17">
        <v>1.506</v>
      </c>
      <c r="P17">
        <v>1.506</v>
      </c>
      <c r="Q17">
        <v>1.506</v>
      </c>
      <c r="R17">
        <v>1.496</v>
      </c>
      <c r="V17">
        <v>7</v>
      </c>
      <c r="Y17">
        <v>1.7090000000000001</v>
      </c>
    </row>
    <row r="18" spans="2:25" x14ac:dyDescent="0.4">
      <c r="B18">
        <v>7</v>
      </c>
      <c r="C18">
        <v>1.889</v>
      </c>
      <c r="D18">
        <v>1.7949999999999999</v>
      </c>
      <c r="E18">
        <v>1.7290000000000001</v>
      </c>
      <c r="F18">
        <v>1.633</v>
      </c>
      <c r="G18">
        <v>1.575</v>
      </c>
      <c r="H18">
        <v>1.5720000000000001</v>
      </c>
      <c r="I18">
        <v>1.542</v>
      </c>
      <c r="L18">
        <v>7</v>
      </c>
      <c r="M18">
        <v>1.512</v>
      </c>
      <c r="N18">
        <v>1.502</v>
      </c>
      <c r="O18">
        <v>1.506</v>
      </c>
      <c r="P18">
        <v>1.5089999999999999</v>
      </c>
      <c r="Q18">
        <v>1.494</v>
      </c>
      <c r="R18">
        <v>1.496</v>
      </c>
      <c r="V18">
        <v>7</v>
      </c>
      <c r="Y18">
        <v>1.7290000000000001</v>
      </c>
    </row>
    <row r="19" spans="2:25" x14ac:dyDescent="0.4">
      <c r="B19">
        <v>8</v>
      </c>
      <c r="C19">
        <v>1.8859999999999999</v>
      </c>
      <c r="D19">
        <v>1.8180000000000001</v>
      </c>
      <c r="E19">
        <v>1.732</v>
      </c>
      <c r="F19">
        <v>1.6359999999999999</v>
      </c>
      <c r="G19">
        <v>1.595</v>
      </c>
      <c r="H19">
        <v>1.56</v>
      </c>
      <c r="I19">
        <v>1.552</v>
      </c>
      <c r="L19">
        <v>8</v>
      </c>
      <c r="M19">
        <v>1.522</v>
      </c>
      <c r="N19">
        <v>1.502</v>
      </c>
      <c r="O19">
        <v>1.5089999999999999</v>
      </c>
      <c r="P19">
        <v>1.5089999999999999</v>
      </c>
      <c r="Q19">
        <v>1.506</v>
      </c>
      <c r="R19">
        <v>1.504</v>
      </c>
      <c r="V19">
        <v>8</v>
      </c>
      <c r="Y19">
        <v>1.7290000000000001</v>
      </c>
    </row>
    <row r="20" spans="2:25" x14ac:dyDescent="0.4">
      <c r="B20">
        <v>8</v>
      </c>
      <c r="C20">
        <v>1.889</v>
      </c>
      <c r="D20">
        <v>1.8149999999999999</v>
      </c>
      <c r="E20">
        <v>1.7190000000000001</v>
      </c>
      <c r="F20">
        <v>1.6359999999999999</v>
      </c>
      <c r="G20">
        <v>1.595</v>
      </c>
      <c r="H20">
        <v>1.56</v>
      </c>
      <c r="I20">
        <v>1.55</v>
      </c>
      <c r="L20">
        <v>8</v>
      </c>
      <c r="M20">
        <v>1.512</v>
      </c>
      <c r="N20">
        <v>1.512</v>
      </c>
      <c r="O20">
        <v>1.5089999999999999</v>
      </c>
      <c r="P20">
        <v>1.5089999999999999</v>
      </c>
      <c r="Q20">
        <v>1.506</v>
      </c>
      <c r="R20">
        <v>1.504</v>
      </c>
      <c r="V20">
        <v>8</v>
      </c>
      <c r="Y20">
        <v>1.732</v>
      </c>
    </row>
    <row r="21" spans="2:25" x14ac:dyDescent="0.4">
      <c r="B21">
        <v>9</v>
      </c>
      <c r="C21">
        <v>1.899</v>
      </c>
      <c r="D21">
        <v>1.8180000000000001</v>
      </c>
      <c r="E21">
        <v>1.7190000000000001</v>
      </c>
      <c r="F21">
        <v>1.6459999999999999</v>
      </c>
      <c r="G21">
        <v>1.5880000000000001</v>
      </c>
      <c r="H21">
        <v>1.57</v>
      </c>
      <c r="I21">
        <v>1.552</v>
      </c>
      <c r="L21">
        <v>9</v>
      </c>
      <c r="M21">
        <v>1.502</v>
      </c>
      <c r="N21">
        <v>1.502</v>
      </c>
      <c r="O21">
        <v>1.4990000000000001</v>
      </c>
      <c r="P21">
        <v>1.4990000000000001</v>
      </c>
      <c r="Q21">
        <v>1.506</v>
      </c>
      <c r="R21">
        <v>1.496</v>
      </c>
      <c r="V21">
        <v>9</v>
      </c>
      <c r="Y21">
        <v>1.722</v>
      </c>
    </row>
    <row r="22" spans="2:25" x14ac:dyDescent="0.4">
      <c r="B22">
        <v>9</v>
      </c>
      <c r="C22">
        <v>1.889</v>
      </c>
      <c r="D22">
        <v>1.8080000000000001</v>
      </c>
      <c r="E22">
        <v>1.7190000000000001</v>
      </c>
      <c r="F22">
        <v>1.633</v>
      </c>
      <c r="G22">
        <v>1.5880000000000001</v>
      </c>
      <c r="H22">
        <v>1.57</v>
      </c>
      <c r="I22">
        <v>1.552</v>
      </c>
      <c r="L22">
        <v>9</v>
      </c>
      <c r="M22">
        <v>1.502</v>
      </c>
      <c r="N22">
        <v>1.502</v>
      </c>
      <c r="O22">
        <v>1.4990000000000001</v>
      </c>
      <c r="P22">
        <v>1.4990000000000001</v>
      </c>
      <c r="Q22">
        <v>1.506</v>
      </c>
      <c r="R22">
        <v>1.506</v>
      </c>
      <c r="V22">
        <v>9</v>
      </c>
      <c r="Y22">
        <v>1.7090000000000001</v>
      </c>
    </row>
    <row r="23" spans="2:25" x14ac:dyDescent="0.4">
      <c r="B23">
        <v>10</v>
      </c>
      <c r="C23">
        <v>1.8859999999999999</v>
      </c>
      <c r="D23">
        <v>1.8080000000000001</v>
      </c>
      <c r="E23">
        <v>1.7190000000000001</v>
      </c>
      <c r="F23">
        <v>1.6459999999999999</v>
      </c>
      <c r="G23">
        <v>1.5880000000000001</v>
      </c>
      <c r="H23">
        <v>1.57</v>
      </c>
      <c r="I23">
        <v>1.55</v>
      </c>
      <c r="L23">
        <v>10</v>
      </c>
      <c r="M23">
        <v>1.502</v>
      </c>
      <c r="N23">
        <v>1.502</v>
      </c>
      <c r="O23">
        <v>1.5089999999999999</v>
      </c>
      <c r="P23">
        <v>1.496</v>
      </c>
      <c r="Q23">
        <v>1.506</v>
      </c>
      <c r="R23">
        <v>1.5169999999999999</v>
      </c>
      <c r="V23">
        <v>10</v>
      </c>
      <c r="Y23">
        <v>1.7090000000000001</v>
      </c>
    </row>
    <row r="24" spans="2:25" x14ac:dyDescent="0.4">
      <c r="B24">
        <v>10</v>
      </c>
      <c r="C24">
        <v>1.899</v>
      </c>
      <c r="D24">
        <v>1.825</v>
      </c>
      <c r="E24">
        <v>1.7190000000000001</v>
      </c>
      <c r="F24">
        <v>1.643</v>
      </c>
      <c r="G24">
        <v>1.5880000000000001</v>
      </c>
      <c r="H24">
        <v>1.5569999999999999</v>
      </c>
      <c r="I24">
        <v>1.54</v>
      </c>
      <c r="L24">
        <v>10</v>
      </c>
      <c r="M24">
        <v>1.512</v>
      </c>
      <c r="N24">
        <v>1.504</v>
      </c>
      <c r="O24">
        <v>1.4990000000000001</v>
      </c>
      <c r="P24">
        <v>1.5089999999999999</v>
      </c>
      <c r="Q24">
        <v>1.506</v>
      </c>
      <c r="R24">
        <v>1.506</v>
      </c>
      <c r="V24">
        <v>10</v>
      </c>
      <c r="Y24">
        <v>1.7090000000000001</v>
      </c>
    </row>
    <row r="25" spans="2:25" x14ac:dyDescent="0.4">
      <c r="B25">
        <v>11</v>
      </c>
      <c r="C25">
        <v>1.8859999999999999</v>
      </c>
      <c r="D25">
        <v>1.8280000000000001</v>
      </c>
      <c r="E25">
        <v>1.7190000000000001</v>
      </c>
      <c r="F25">
        <v>1.643</v>
      </c>
      <c r="G25">
        <v>1.585</v>
      </c>
      <c r="H25">
        <v>0.55700000000000005</v>
      </c>
      <c r="I25">
        <v>1.55</v>
      </c>
      <c r="L25">
        <v>11</v>
      </c>
      <c r="M25">
        <v>1.512</v>
      </c>
      <c r="N25">
        <v>1.502</v>
      </c>
      <c r="O25">
        <v>1.5089999999999999</v>
      </c>
      <c r="P25">
        <v>1.5089999999999999</v>
      </c>
      <c r="Q25">
        <v>1.506</v>
      </c>
      <c r="R25">
        <v>1.506</v>
      </c>
      <c r="V25">
        <v>11</v>
      </c>
      <c r="Y25">
        <v>1.7290000000000001</v>
      </c>
    </row>
    <row r="26" spans="2:25" x14ac:dyDescent="0.4">
      <c r="B26">
        <v>11</v>
      </c>
      <c r="C26">
        <v>1.889</v>
      </c>
      <c r="D26">
        <v>1.8149999999999999</v>
      </c>
      <c r="E26">
        <v>1.7190000000000001</v>
      </c>
      <c r="F26">
        <v>1.643</v>
      </c>
      <c r="G26">
        <v>1.5820000000000001</v>
      </c>
      <c r="H26">
        <v>1.5669999999999999</v>
      </c>
      <c r="I26">
        <v>1.5449999999999999</v>
      </c>
      <c r="L26">
        <v>11</v>
      </c>
      <c r="M26">
        <v>1.522</v>
      </c>
      <c r="N26">
        <v>1.502</v>
      </c>
      <c r="O26">
        <v>1.4990000000000001</v>
      </c>
      <c r="P26">
        <v>1.5089999999999999</v>
      </c>
      <c r="Q26">
        <v>1.506</v>
      </c>
      <c r="R26">
        <v>1.506</v>
      </c>
      <c r="V26">
        <v>11</v>
      </c>
      <c r="Y26">
        <v>1.7090000000000001</v>
      </c>
    </row>
    <row r="27" spans="2:25" x14ac:dyDescent="0.4">
      <c r="B27">
        <v>12</v>
      </c>
      <c r="C27">
        <v>1.899</v>
      </c>
      <c r="D27">
        <v>1.8049999999999999</v>
      </c>
      <c r="E27">
        <v>1.722</v>
      </c>
      <c r="F27">
        <v>1.6359999999999999</v>
      </c>
      <c r="G27">
        <v>1.5980000000000001</v>
      </c>
      <c r="H27">
        <v>1.57</v>
      </c>
      <c r="I27">
        <v>1.542</v>
      </c>
      <c r="L27">
        <v>12</v>
      </c>
      <c r="M27">
        <v>1.512</v>
      </c>
      <c r="N27">
        <v>1.502</v>
      </c>
      <c r="O27">
        <v>1.4990000000000001</v>
      </c>
      <c r="P27">
        <v>1.5089999999999999</v>
      </c>
      <c r="Q27">
        <v>1.504</v>
      </c>
      <c r="R27">
        <v>1.5089999999999999</v>
      </c>
      <c r="V27">
        <v>12</v>
      </c>
      <c r="Y27">
        <v>1.7090000000000001</v>
      </c>
    </row>
    <row r="28" spans="2:25" x14ac:dyDescent="0.4">
      <c r="B28">
        <v>12</v>
      </c>
      <c r="C28">
        <v>1.899</v>
      </c>
      <c r="D28">
        <v>1.8149999999999999</v>
      </c>
      <c r="E28">
        <v>1.7190000000000001</v>
      </c>
      <c r="F28">
        <v>1.6359999999999999</v>
      </c>
      <c r="G28">
        <v>1.595</v>
      </c>
      <c r="H28">
        <v>1.5720000000000001</v>
      </c>
      <c r="I28">
        <v>1.54</v>
      </c>
      <c r="L28">
        <v>12</v>
      </c>
      <c r="M28">
        <v>1.512</v>
      </c>
      <c r="N28">
        <v>1.502</v>
      </c>
      <c r="O28">
        <v>1.4990000000000001</v>
      </c>
      <c r="P28">
        <v>1.5089999999999999</v>
      </c>
      <c r="Q28">
        <v>1.494</v>
      </c>
      <c r="R28">
        <v>1.506</v>
      </c>
      <c r="V28">
        <v>12</v>
      </c>
      <c r="Y28">
        <v>1.732</v>
      </c>
    </row>
    <row r="29" spans="2:25" x14ac:dyDescent="0.4">
      <c r="B29">
        <v>13</v>
      </c>
      <c r="C29">
        <v>1.8959999999999999</v>
      </c>
      <c r="D29">
        <v>1.8149999999999999</v>
      </c>
      <c r="E29">
        <v>1.7290000000000001</v>
      </c>
      <c r="F29">
        <v>1.6359999999999999</v>
      </c>
      <c r="G29">
        <v>1.595</v>
      </c>
      <c r="H29">
        <v>1.57</v>
      </c>
      <c r="I29">
        <v>1.54</v>
      </c>
      <c r="L29">
        <v>13</v>
      </c>
      <c r="M29">
        <v>1.512</v>
      </c>
      <c r="N29">
        <v>1.502</v>
      </c>
      <c r="O29">
        <v>1.5089999999999999</v>
      </c>
      <c r="P29">
        <v>1.5089999999999999</v>
      </c>
      <c r="Q29">
        <v>1.506</v>
      </c>
      <c r="R29">
        <v>1.496</v>
      </c>
      <c r="V29">
        <v>13</v>
      </c>
      <c r="Y29">
        <v>1.722</v>
      </c>
    </row>
    <row r="30" spans="2:25" x14ac:dyDescent="0.4">
      <c r="B30">
        <v>13</v>
      </c>
      <c r="C30">
        <v>1.8859999999999999</v>
      </c>
      <c r="D30">
        <v>1.8149999999999999</v>
      </c>
      <c r="E30">
        <v>1.7190000000000001</v>
      </c>
      <c r="F30">
        <v>1.6459999999999999</v>
      </c>
      <c r="G30">
        <v>1.585</v>
      </c>
      <c r="H30">
        <v>1.57</v>
      </c>
      <c r="I30">
        <v>1.5449999999999999</v>
      </c>
      <c r="L30">
        <v>13</v>
      </c>
      <c r="M30">
        <v>1.502</v>
      </c>
      <c r="N30">
        <v>1.502</v>
      </c>
      <c r="O30">
        <v>1.5089999999999999</v>
      </c>
      <c r="P30">
        <v>1.506</v>
      </c>
      <c r="Q30">
        <v>1.496</v>
      </c>
      <c r="R30">
        <v>1.4890000000000001</v>
      </c>
      <c r="V30">
        <v>13</v>
      </c>
      <c r="Y30">
        <v>1.7190000000000001</v>
      </c>
    </row>
    <row r="31" spans="2:25" x14ac:dyDescent="0.4">
      <c r="B31">
        <v>14</v>
      </c>
      <c r="C31">
        <v>1.899</v>
      </c>
      <c r="D31">
        <v>1.8049999999999999</v>
      </c>
      <c r="E31">
        <v>1.7190000000000001</v>
      </c>
      <c r="F31">
        <v>1.633</v>
      </c>
      <c r="G31">
        <v>1.6080000000000001</v>
      </c>
      <c r="H31">
        <v>1.57</v>
      </c>
      <c r="I31">
        <v>1.5629999999999999</v>
      </c>
      <c r="L31">
        <v>14</v>
      </c>
      <c r="M31">
        <v>1.502</v>
      </c>
      <c r="N31">
        <v>1.522</v>
      </c>
      <c r="O31">
        <v>1.4990000000000001</v>
      </c>
      <c r="P31">
        <v>1.506</v>
      </c>
      <c r="Q31">
        <v>1.494</v>
      </c>
      <c r="R31">
        <v>1.4890000000000001</v>
      </c>
      <c r="V31">
        <v>14</v>
      </c>
      <c r="Y31">
        <v>1.7190000000000001</v>
      </c>
    </row>
    <row r="32" spans="2:25" x14ac:dyDescent="0.4">
      <c r="B32">
        <v>14</v>
      </c>
      <c r="C32">
        <v>1.889</v>
      </c>
      <c r="D32">
        <v>1.8049999999999999</v>
      </c>
      <c r="E32">
        <v>1.716</v>
      </c>
      <c r="F32">
        <v>1.6359999999999999</v>
      </c>
      <c r="G32">
        <v>1.5880000000000001</v>
      </c>
      <c r="H32">
        <v>1.57</v>
      </c>
      <c r="I32">
        <v>1.542</v>
      </c>
      <c r="L32">
        <v>14</v>
      </c>
      <c r="M32">
        <v>1.512</v>
      </c>
      <c r="N32">
        <v>1.522</v>
      </c>
      <c r="O32">
        <v>1.5289999999999999</v>
      </c>
      <c r="P32">
        <v>1.5089999999999999</v>
      </c>
      <c r="Q32">
        <v>1.506</v>
      </c>
      <c r="R32">
        <v>1.496</v>
      </c>
      <c r="V32">
        <v>14</v>
      </c>
      <c r="Y32">
        <v>1.7190000000000001</v>
      </c>
    </row>
    <row r="33" spans="2:25" x14ac:dyDescent="0.4">
      <c r="B33">
        <v>15</v>
      </c>
      <c r="C33">
        <v>1.889</v>
      </c>
      <c r="D33">
        <v>1.8149999999999999</v>
      </c>
      <c r="E33">
        <v>1.7290000000000001</v>
      </c>
      <c r="F33">
        <v>1.6259999999999999</v>
      </c>
      <c r="G33">
        <v>1.5980000000000001</v>
      </c>
      <c r="H33">
        <v>1.56</v>
      </c>
      <c r="I33">
        <v>1.552</v>
      </c>
      <c r="L33">
        <v>15</v>
      </c>
      <c r="M33">
        <v>1.502</v>
      </c>
      <c r="N33">
        <v>1.5089999999999999</v>
      </c>
      <c r="O33">
        <v>1.4990000000000001</v>
      </c>
      <c r="P33">
        <v>1.506</v>
      </c>
      <c r="Q33">
        <v>1.494</v>
      </c>
      <c r="R33">
        <v>1.5089999999999999</v>
      </c>
      <c r="V33">
        <v>15</v>
      </c>
      <c r="Y33">
        <v>1.7290000000000001</v>
      </c>
    </row>
    <row r="34" spans="2:25" x14ac:dyDescent="0.4">
      <c r="B34">
        <v>15</v>
      </c>
      <c r="C34">
        <v>1.8859999999999999</v>
      </c>
      <c r="D34">
        <v>1.8149999999999999</v>
      </c>
      <c r="E34">
        <v>1.7290000000000001</v>
      </c>
      <c r="F34">
        <v>1.6259999999999999</v>
      </c>
      <c r="G34">
        <v>1.5980000000000001</v>
      </c>
      <c r="H34">
        <v>1.56</v>
      </c>
      <c r="I34">
        <v>1.552</v>
      </c>
      <c r="L34">
        <v>15</v>
      </c>
      <c r="M34">
        <v>1.512</v>
      </c>
      <c r="N34">
        <v>1.512</v>
      </c>
      <c r="O34">
        <v>1.4990000000000001</v>
      </c>
      <c r="P34">
        <v>1.4990000000000001</v>
      </c>
      <c r="Q34">
        <v>1.494</v>
      </c>
      <c r="R34">
        <v>1.496</v>
      </c>
      <c r="V34">
        <v>15</v>
      </c>
      <c r="Y34">
        <v>1.732</v>
      </c>
    </row>
    <row r="35" spans="2:25" x14ac:dyDescent="0.4">
      <c r="B35">
        <v>16</v>
      </c>
      <c r="C35">
        <v>1.8959999999999999</v>
      </c>
      <c r="D35">
        <v>1.8180000000000001</v>
      </c>
      <c r="E35">
        <v>1.7090000000000001</v>
      </c>
      <c r="F35">
        <v>1.633</v>
      </c>
      <c r="G35">
        <v>1.5980000000000001</v>
      </c>
      <c r="H35">
        <v>1.575</v>
      </c>
      <c r="I35">
        <v>1.552</v>
      </c>
      <c r="L35">
        <v>16</v>
      </c>
      <c r="M35">
        <v>1.502</v>
      </c>
      <c r="N35">
        <v>1.502</v>
      </c>
      <c r="O35">
        <v>1.506</v>
      </c>
      <c r="P35">
        <v>1.5089999999999999</v>
      </c>
      <c r="Q35">
        <v>1.494</v>
      </c>
      <c r="R35">
        <v>1.5089999999999999</v>
      </c>
      <c r="V35">
        <v>16</v>
      </c>
      <c r="Y35">
        <v>1.732</v>
      </c>
    </row>
    <row r="36" spans="2:25" x14ac:dyDescent="0.4">
      <c r="B36">
        <v>16</v>
      </c>
      <c r="C36">
        <v>1.8959999999999999</v>
      </c>
      <c r="D36">
        <v>1.8149999999999999</v>
      </c>
      <c r="E36">
        <v>1.7290000000000001</v>
      </c>
      <c r="F36">
        <v>1.6359999999999999</v>
      </c>
      <c r="G36">
        <v>1.5980000000000001</v>
      </c>
      <c r="H36">
        <v>1.57</v>
      </c>
      <c r="I36">
        <v>1.552</v>
      </c>
      <c r="L36">
        <v>16</v>
      </c>
      <c r="M36">
        <v>1.512</v>
      </c>
      <c r="N36">
        <v>1.512</v>
      </c>
      <c r="O36">
        <v>1.5169999999999999</v>
      </c>
      <c r="P36">
        <v>1.4990000000000001</v>
      </c>
      <c r="Q36">
        <v>1.494</v>
      </c>
      <c r="R36">
        <v>1.4990000000000001</v>
      </c>
      <c r="V36">
        <v>16</v>
      </c>
      <c r="Y36">
        <v>1.732</v>
      </c>
    </row>
    <row r="37" spans="2:25" x14ac:dyDescent="0.4">
      <c r="B37">
        <v>17</v>
      </c>
      <c r="C37">
        <v>1.899</v>
      </c>
      <c r="D37">
        <v>1.8180000000000001</v>
      </c>
      <c r="E37">
        <v>1.7190000000000001</v>
      </c>
      <c r="F37">
        <v>1.643</v>
      </c>
      <c r="G37">
        <v>1.585</v>
      </c>
      <c r="H37">
        <v>1.57</v>
      </c>
      <c r="I37">
        <v>1.552</v>
      </c>
      <c r="L37">
        <v>17</v>
      </c>
      <c r="M37">
        <v>1.4990000000000001</v>
      </c>
      <c r="N37">
        <v>1.4990000000000001</v>
      </c>
      <c r="O37">
        <v>1.4990000000000001</v>
      </c>
      <c r="P37">
        <v>1.4990000000000001</v>
      </c>
      <c r="Q37">
        <v>1.504</v>
      </c>
      <c r="R37">
        <v>1.496</v>
      </c>
      <c r="V37">
        <v>17</v>
      </c>
      <c r="Y37">
        <v>1.722</v>
      </c>
    </row>
    <row r="38" spans="2:25" x14ac:dyDescent="0.4">
      <c r="B38">
        <v>17</v>
      </c>
      <c r="C38">
        <v>1.8859999999999999</v>
      </c>
      <c r="D38">
        <v>1.8149999999999999</v>
      </c>
      <c r="E38">
        <v>1.7190000000000001</v>
      </c>
      <c r="F38">
        <v>1.633</v>
      </c>
      <c r="G38">
        <v>1.595</v>
      </c>
      <c r="H38">
        <v>1.57</v>
      </c>
      <c r="I38">
        <v>1.552</v>
      </c>
      <c r="L38">
        <v>17</v>
      </c>
      <c r="M38">
        <v>1.502</v>
      </c>
      <c r="N38">
        <v>1.4990000000000001</v>
      </c>
      <c r="O38">
        <v>1.4990000000000001</v>
      </c>
      <c r="P38">
        <v>1.506</v>
      </c>
      <c r="Q38">
        <v>1.504</v>
      </c>
      <c r="R38">
        <v>1.504</v>
      </c>
      <c r="V38">
        <v>17</v>
      </c>
      <c r="Y38">
        <v>1.722</v>
      </c>
    </row>
    <row r="39" spans="2:25" x14ac:dyDescent="0.4">
      <c r="B39">
        <v>18</v>
      </c>
      <c r="C39">
        <v>1.8859999999999999</v>
      </c>
      <c r="D39">
        <v>1.8149999999999999</v>
      </c>
      <c r="E39">
        <v>1.7290000000000001</v>
      </c>
      <c r="F39">
        <v>1.623</v>
      </c>
      <c r="G39">
        <v>1.595</v>
      </c>
      <c r="H39">
        <v>1.57</v>
      </c>
      <c r="I39">
        <v>1.542</v>
      </c>
      <c r="L39">
        <v>18</v>
      </c>
      <c r="M39">
        <v>1.502</v>
      </c>
      <c r="N39">
        <v>1.504</v>
      </c>
      <c r="O39">
        <v>1.4990000000000001</v>
      </c>
      <c r="P39">
        <v>1.4990000000000001</v>
      </c>
      <c r="Q39">
        <v>1.486</v>
      </c>
      <c r="R39">
        <v>1.506</v>
      </c>
      <c r="V39">
        <v>18</v>
      </c>
      <c r="Y39">
        <v>1.722</v>
      </c>
    </row>
    <row r="40" spans="2:25" x14ac:dyDescent="0.4">
      <c r="B40">
        <v>18</v>
      </c>
      <c r="C40">
        <v>1.8959999999999999</v>
      </c>
      <c r="D40">
        <v>1.8180000000000001</v>
      </c>
      <c r="E40">
        <v>1.7190000000000001</v>
      </c>
      <c r="F40">
        <v>1.633</v>
      </c>
      <c r="G40">
        <v>1.5780000000000001</v>
      </c>
      <c r="H40">
        <v>1.5669999999999999</v>
      </c>
      <c r="I40">
        <v>1.5449999999999999</v>
      </c>
      <c r="L40">
        <v>18</v>
      </c>
      <c r="M40">
        <v>1.512</v>
      </c>
      <c r="N40">
        <v>1.512</v>
      </c>
      <c r="O40">
        <v>1.4990000000000001</v>
      </c>
      <c r="P40">
        <v>1.4990000000000001</v>
      </c>
      <c r="Q40">
        <v>1.506</v>
      </c>
      <c r="R40">
        <v>1.506</v>
      </c>
      <c r="V40">
        <v>18</v>
      </c>
      <c r="Y40">
        <v>1.722</v>
      </c>
    </row>
    <row r="41" spans="2:25" x14ac:dyDescent="0.4">
      <c r="B41">
        <v>19</v>
      </c>
      <c r="C41">
        <v>1.899</v>
      </c>
      <c r="D41">
        <v>1.8149999999999999</v>
      </c>
      <c r="E41">
        <v>1.722</v>
      </c>
      <c r="F41">
        <v>1.633</v>
      </c>
      <c r="G41">
        <v>1.5780000000000001</v>
      </c>
      <c r="H41">
        <v>1.57</v>
      </c>
      <c r="I41">
        <v>1.5649999999999999</v>
      </c>
      <c r="L41">
        <v>19</v>
      </c>
      <c r="M41">
        <v>1.512</v>
      </c>
      <c r="N41">
        <v>1.502</v>
      </c>
      <c r="O41">
        <v>1.506</v>
      </c>
      <c r="P41">
        <v>1.5189999999999999</v>
      </c>
      <c r="Q41">
        <v>1.506</v>
      </c>
      <c r="R41">
        <v>1.496</v>
      </c>
      <c r="V41">
        <v>19</v>
      </c>
      <c r="Y41">
        <v>1.7190000000000001</v>
      </c>
    </row>
    <row r="42" spans="2:25" x14ac:dyDescent="0.4">
      <c r="B42">
        <v>19</v>
      </c>
      <c r="C42">
        <v>1.8959999999999999</v>
      </c>
      <c r="D42">
        <v>1.8149999999999999</v>
      </c>
      <c r="E42">
        <v>1.722</v>
      </c>
      <c r="F42">
        <v>1.6459999999999999</v>
      </c>
      <c r="G42">
        <v>1.5820000000000001</v>
      </c>
      <c r="H42">
        <v>1.575</v>
      </c>
      <c r="I42">
        <v>1.552</v>
      </c>
      <c r="L42">
        <v>19</v>
      </c>
      <c r="M42">
        <v>1.5189999999999999</v>
      </c>
      <c r="N42">
        <v>1.512</v>
      </c>
      <c r="O42">
        <v>1.4990000000000001</v>
      </c>
      <c r="P42">
        <v>1.5089999999999999</v>
      </c>
      <c r="Q42">
        <v>1.506</v>
      </c>
      <c r="R42">
        <v>1.496</v>
      </c>
      <c r="V42">
        <v>19</v>
      </c>
      <c r="Y42">
        <v>1.7290000000000001</v>
      </c>
    </row>
    <row r="43" spans="2:25" x14ac:dyDescent="0.4">
      <c r="B43">
        <v>20</v>
      </c>
      <c r="C43">
        <v>1.899</v>
      </c>
      <c r="D43">
        <v>1.8149999999999999</v>
      </c>
      <c r="E43">
        <v>1.7090000000000001</v>
      </c>
      <c r="F43">
        <v>1.633</v>
      </c>
      <c r="G43">
        <v>1.575</v>
      </c>
      <c r="H43">
        <v>1.5780000000000001</v>
      </c>
      <c r="I43">
        <v>1.542</v>
      </c>
      <c r="L43">
        <v>20</v>
      </c>
      <c r="M43">
        <v>1.512</v>
      </c>
      <c r="N43">
        <v>1.5189999999999999</v>
      </c>
      <c r="O43">
        <v>1.5089999999999999</v>
      </c>
      <c r="P43">
        <v>1.502</v>
      </c>
      <c r="Q43">
        <v>1.496</v>
      </c>
      <c r="R43">
        <v>1.506</v>
      </c>
      <c r="V43">
        <v>20</v>
      </c>
      <c r="Y43">
        <v>1.722</v>
      </c>
    </row>
    <row r="44" spans="2:25" x14ac:dyDescent="0.4">
      <c r="B44">
        <v>20</v>
      </c>
      <c r="C44">
        <v>1.8859999999999999</v>
      </c>
      <c r="D44">
        <v>1.8149999999999999</v>
      </c>
      <c r="E44">
        <v>1.7090000000000001</v>
      </c>
      <c r="F44">
        <v>1.6359999999999999</v>
      </c>
      <c r="G44">
        <v>1.5880000000000001</v>
      </c>
      <c r="H44">
        <v>1.5780000000000001</v>
      </c>
      <c r="I44">
        <v>1.542</v>
      </c>
      <c r="L44">
        <v>20</v>
      </c>
      <c r="M44">
        <v>1.5089999999999999</v>
      </c>
      <c r="N44">
        <v>1.502</v>
      </c>
      <c r="O44">
        <v>1.5089999999999999</v>
      </c>
      <c r="P44">
        <v>1.5089999999999999</v>
      </c>
      <c r="Q44">
        <v>1.496</v>
      </c>
      <c r="R44">
        <v>1.506</v>
      </c>
      <c r="V44">
        <v>20</v>
      </c>
      <c r="Y44">
        <v>1.722</v>
      </c>
    </row>
    <row r="45" spans="2:25" x14ac:dyDescent="0.4">
      <c r="B45">
        <v>21</v>
      </c>
      <c r="C45">
        <v>1.8859999999999999</v>
      </c>
      <c r="D45">
        <v>1.8149999999999999</v>
      </c>
      <c r="E45">
        <v>1.7090000000000001</v>
      </c>
      <c r="F45">
        <v>1.6359999999999999</v>
      </c>
      <c r="G45">
        <v>1.585</v>
      </c>
      <c r="H45">
        <v>1.575</v>
      </c>
      <c r="I45">
        <v>1.542</v>
      </c>
      <c r="L45">
        <v>21</v>
      </c>
      <c r="M45">
        <v>1.502</v>
      </c>
      <c r="N45">
        <v>1.502</v>
      </c>
      <c r="O45">
        <v>1.5089999999999999</v>
      </c>
      <c r="P45">
        <v>1.5089999999999999</v>
      </c>
      <c r="Q45">
        <v>1.496</v>
      </c>
      <c r="R45">
        <v>1.506</v>
      </c>
      <c r="V45">
        <v>21</v>
      </c>
      <c r="Y45">
        <v>1.712</v>
      </c>
    </row>
    <row r="46" spans="2:25" x14ac:dyDescent="0.4">
      <c r="B46">
        <v>21</v>
      </c>
      <c r="C46">
        <v>1.8859999999999999</v>
      </c>
      <c r="D46">
        <v>1.8149999999999999</v>
      </c>
      <c r="E46">
        <v>1.7290000000000001</v>
      </c>
      <c r="F46">
        <v>1.6259999999999999</v>
      </c>
      <c r="G46">
        <v>1.585</v>
      </c>
      <c r="H46">
        <v>1.57</v>
      </c>
      <c r="I46">
        <v>1.552</v>
      </c>
      <c r="L46">
        <v>21</v>
      </c>
      <c r="M46">
        <v>1.512</v>
      </c>
      <c r="N46">
        <v>1.502</v>
      </c>
      <c r="O46">
        <v>1.5089999999999999</v>
      </c>
      <c r="P46">
        <v>1.5089999999999999</v>
      </c>
      <c r="Q46">
        <v>1.506</v>
      </c>
      <c r="R46">
        <v>1.506</v>
      </c>
      <c r="V46">
        <v>21</v>
      </c>
      <c r="Y46">
        <v>1.712</v>
      </c>
    </row>
    <row r="47" spans="2:25" x14ac:dyDescent="0.4">
      <c r="B47">
        <v>22</v>
      </c>
      <c r="C47">
        <v>1.899</v>
      </c>
      <c r="D47">
        <v>1.8149999999999999</v>
      </c>
      <c r="E47">
        <v>1.7290000000000001</v>
      </c>
      <c r="F47">
        <v>1.6259999999999999</v>
      </c>
      <c r="G47">
        <v>1.585</v>
      </c>
      <c r="H47">
        <v>1.57</v>
      </c>
      <c r="I47">
        <v>1.542</v>
      </c>
      <c r="L47">
        <v>22</v>
      </c>
      <c r="M47">
        <v>1.502</v>
      </c>
      <c r="N47">
        <v>1.492</v>
      </c>
      <c r="O47">
        <v>1.5089999999999999</v>
      </c>
      <c r="P47">
        <v>1.5089999999999999</v>
      </c>
      <c r="Q47">
        <v>1.514</v>
      </c>
      <c r="R47">
        <v>1.506</v>
      </c>
      <c r="V47">
        <v>22</v>
      </c>
      <c r="Y47">
        <v>1.722</v>
      </c>
    </row>
    <row r="48" spans="2:25" x14ac:dyDescent="0.4">
      <c r="B48">
        <v>22</v>
      </c>
      <c r="C48">
        <v>1.8859999999999999</v>
      </c>
      <c r="D48">
        <v>1.8149999999999999</v>
      </c>
      <c r="E48">
        <v>1.7290000000000001</v>
      </c>
      <c r="F48">
        <v>1.643</v>
      </c>
      <c r="G48">
        <v>1.585</v>
      </c>
      <c r="H48">
        <v>1.56</v>
      </c>
      <c r="I48">
        <v>1.542</v>
      </c>
      <c r="L48">
        <v>22</v>
      </c>
      <c r="M48">
        <v>1.502</v>
      </c>
      <c r="N48">
        <v>1.492</v>
      </c>
      <c r="O48">
        <v>1.496</v>
      </c>
      <c r="P48">
        <v>1.496</v>
      </c>
      <c r="Q48">
        <v>1.4910000000000001</v>
      </c>
      <c r="R48">
        <v>1.5169999999999999</v>
      </c>
      <c r="V48">
        <v>22</v>
      </c>
      <c r="Y48">
        <v>1.7290000000000001</v>
      </c>
    </row>
    <row r="49" spans="2:25" x14ac:dyDescent="0.4">
      <c r="B49">
        <v>23</v>
      </c>
      <c r="C49">
        <v>1.8959999999999999</v>
      </c>
      <c r="D49">
        <v>1.8049999999999999</v>
      </c>
      <c r="E49">
        <v>1.7190000000000001</v>
      </c>
      <c r="F49">
        <v>1.633</v>
      </c>
      <c r="G49">
        <v>1.595</v>
      </c>
      <c r="H49">
        <v>1.57</v>
      </c>
      <c r="I49">
        <v>1.542</v>
      </c>
      <c r="L49">
        <v>23</v>
      </c>
      <c r="M49">
        <v>1.504</v>
      </c>
      <c r="N49">
        <v>1.512</v>
      </c>
      <c r="O49">
        <v>1.506</v>
      </c>
      <c r="P49">
        <v>1.4990000000000001</v>
      </c>
      <c r="Q49">
        <v>1.504</v>
      </c>
      <c r="R49">
        <v>1.5089999999999999</v>
      </c>
      <c r="V49">
        <v>23</v>
      </c>
      <c r="Y49">
        <v>1.722</v>
      </c>
    </row>
    <row r="50" spans="2:25" x14ac:dyDescent="0.4">
      <c r="B50">
        <v>23</v>
      </c>
      <c r="C50">
        <v>1.899</v>
      </c>
      <c r="D50">
        <v>1.8180000000000001</v>
      </c>
      <c r="E50">
        <v>1.7290000000000001</v>
      </c>
      <c r="F50">
        <v>1.623</v>
      </c>
      <c r="G50">
        <v>1.585</v>
      </c>
      <c r="H50">
        <v>1.56</v>
      </c>
      <c r="I50">
        <v>1.552</v>
      </c>
      <c r="L50">
        <v>23</v>
      </c>
      <c r="M50">
        <v>1.502</v>
      </c>
      <c r="N50">
        <v>1.512</v>
      </c>
      <c r="O50">
        <v>1.5089999999999999</v>
      </c>
      <c r="P50">
        <v>1.5089999999999999</v>
      </c>
      <c r="Q50">
        <v>1.504</v>
      </c>
      <c r="R50">
        <v>1.506</v>
      </c>
      <c r="V50">
        <v>23</v>
      </c>
      <c r="Y50">
        <v>1.7290000000000001</v>
      </c>
    </row>
    <row r="51" spans="2:25" x14ac:dyDescent="0.4">
      <c r="B51">
        <v>24</v>
      </c>
      <c r="C51">
        <v>1.899</v>
      </c>
      <c r="D51">
        <v>1.8080000000000001</v>
      </c>
      <c r="E51">
        <v>1.7190000000000001</v>
      </c>
      <c r="F51">
        <v>1.633</v>
      </c>
      <c r="G51">
        <v>1.595</v>
      </c>
      <c r="H51">
        <v>1.5920000000000001</v>
      </c>
      <c r="I51">
        <v>1.552</v>
      </c>
      <c r="L51">
        <v>24</v>
      </c>
      <c r="M51">
        <v>1.4890000000000001</v>
      </c>
      <c r="N51">
        <v>1.504</v>
      </c>
      <c r="O51">
        <v>1.5089999999999999</v>
      </c>
      <c r="P51">
        <v>1.5089999999999999</v>
      </c>
      <c r="Q51">
        <v>1.504</v>
      </c>
      <c r="R51">
        <v>1.506</v>
      </c>
      <c r="V51">
        <v>24</v>
      </c>
      <c r="Y51">
        <v>1.7290000000000001</v>
      </c>
    </row>
    <row r="52" spans="2:25" x14ac:dyDescent="0.4">
      <c r="B52">
        <v>24</v>
      </c>
      <c r="C52">
        <v>1.889</v>
      </c>
      <c r="D52">
        <v>1.8080000000000001</v>
      </c>
      <c r="E52">
        <v>1.7290000000000001</v>
      </c>
      <c r="F52">
        <v>1.6359999999999999</v>
      </c>
      <c r="G52">
        <v>1.5880000000000001</v>
      </c>
      <c r="H52">
        <v>1.5980000000000001</v>
      </c>
      <c r="I52">
        <v>1.542</v>
      </c>
      <c r="L52">
        <v>24</v>
      </c>
      <c r="M52">
        <v>1.5289999999999999</v>
      </c>
      <c r="N52">
        <v>1.512</v>
      </c>
      <c r="O52">
        <v>1.5089999999999999</v>
      </c>
      <c r="P52">
        <v>1.4990000000000001</v>
      </c>
      <c r="Q52">
        <v>1.494</v>
      </c>
      <c r="R52">
        <v>1.504</v>
      </c>
      <c r="V52">
        <v>24</v>
      </c>
      <c r="Y52">
        <v>1.7190000000000001</v>
      </c>
    </row>
    <row r="53" spans="2:25" x14ac:dyDescent="0.4">
      <c r="B53">
        <v>25</v>
      </c>
      <c r="C53">
        <v>1.899</v>
      </c>
      <c r="D53">
        <v>1.8049999999999999</v>
      </c>
      <c r="E53">
        <v>1.7290000000000001</v>
      </c>
      <c r="F53">
        <v>1.643</v>
      </c>
      <c r="G53">
        <v>1.5880000000000001</v>
      </c>
      <c r="H53">
        <v>1.5920000000000001</v>
      </c>
      <c r="I53">
        <v>1.552</v>
      </c>
      <c r="L53">
        <v>25</v>
      </c>
      <c r="M53">
        <v>1.502</v>
      </c>
      <c r="N53">
        <v>1.522</v>
      </c>
      <c r="O53">
        <v>1.5089999999999999</v>
      </c>
      <c r="P53">
        <v>1.5189999999999999</v>
      </c>
      <c r="Q53">
        <v>1.504</v>
      </c>
      <c r="R53">
        <v>1.496</v>
      </c>
      <c r="V53">
        <v>25</v>
      </c>
      <c r="Y53">
        <v>1.7290000000000001</v>
      </c>
    </row>
    <row r="54" spans="2:25" x14ac:dyDescent="0.4">
      <c r="B54">
        <v>25</v>
      </c>
      <c r="C54">
        <v>1.899</v>
      </c>
      <c r="D54">
        <v>1.8149999999999999</v>
      </c>
      <c r="E54">
        <v>1.7290000000000001</v>
      </c>
      <c r="F54">
        <v>1.6359999999999999</v>
      </c>
      <c r="G54">
        <v>1.585</v>
      </c>
      <c r="H54">
        <v>1.57</v>
      </c>
      <c r="I54">
        <v>1.542</v>
      </c>
      <c r="L54">
        <v>25</v>
      </c>
      <c r="M54">
        <v>1.502</v>
      </c>
      <c r="N54">
        <v>1.4990000000000001</v>
      </c>
      <c r="O54">
        <v>1.5089999999999999</v>
      </c>
      <c r="P54">
        <v>1.5089999999999999</v>
      </c>
      <c r="Q54">
        <v>1.504</v>
      </c>
      <c r="R54">
        <v>1.4990000000000001</v>
      </c>
      <c r="V54">
        <v>25</v>
      </c>
      <c r="Y54">
        <v>1.732</v>
      </c>
    </row>
    <row r="55" spans="2:25" x14ac:dyDescent="0.4">
      <c r="B55">
        <v>26</v>
      </c>
      <c r="C55">
        <v>1.899</v>
      </c>
      <c r="D55">
        <v>1.8149999999999999</v>
      </c>
      <c r="E55">
        <v>1.7190000000000001</v>
      </c>
      <c r="F55">
        <v>1.6359999999999999</v>
      </c>
      <c r="G55">
        <v>1.595</v>
      </c>
      <c r="H55">
        <v>1.575</v>
      </c>
      <c r="I55">
        <v>1.542</v>
      </c>
      <c r="L55">
        <v>26</v>
      </c>
      <c r="M55">
        <v>1.512</v>
      </c>
      <c r="N55">
        <v>1.4990000000000001</v>
      </c>
      <c r="O55">
        <v>1.506</v>
      </c>
      <c r="P55">
        <v>1.4990000000000001</v>
      </c>
      <c r="Q55">
        <v>1.504</v>
      </c>
      <c r="R55">
        <v>1.506</v>
      </c>
      <c r="V55">
        <v>26</v>
      </c>
      <c r="Y55">
        <v>1.7190000000000001</v>
      </c>
    </row>
    <row r="56" spans="2:25" x14ac:dyDescent="0.4">
      <c r="B56">
        <v>26</v>
      </c>
      <c r="C56">
        <v>1.8959999999999999</v>
      </c>
      <c r="D56">
        <v>1.8149999999999999</v>
      </c>
      <c r="E56">
        <v>1.7290000000000001</v>
      </c>
      <c r="F56">
        <v>1.6359999999999999</v>
      </c>
      <c r="G56">
        <v>1.585</v>
      </c>
      <c r="H56">
        <v>1.57</v>
      </c>
      <c r="I56">
        <v>1.55</v>
      </c>
      <c r="L56">
        <v>26</v>
      </c>
      <c r="M56">
        <v>1.502</v>
      </c>
      <c r="N56">
        <v>1.4990000000000001</v>
      </c>
      <c r="O56">
        <v>1.4990000000000001</v>
      </c>
      <c r="P56">
        <v>1.5089999999999999</v>
      </c>
      <c r="Q56">
        <v>1.504</v>
      </c>
      <c r="R56">
        <v>1.496</v>
      </c>
      <c r="V56">
        <v>26</v>
      </c>
      <c r="Y56">
        <v>1.732</v>
      </c>
    </row>
    <row r="57" spans="2:25" x14ac:dyDescent="0.4">
      <c r="B57">
        <v>27</v>
      </c>
      <c r="C57">
        <v>1.8859999999999999</v>
      </c>
      <c r="D57">
        <v>1.8149999999999999</v>
      </c>
      <c r="E57">
        <v>1.7290000000000001</v>
      </c>
      <c r="F57">
        <v>1.643</v>
      </c>
      <c r="G57">
        <v>1.595</v>
      </c>
      <c r="H57">
        <v>1.57</v>
      </c>
      <c r="I57">
        <v>1.542</v>
      </c>
      <c r="L57">
        <v>27</v>
      </c>
      <c r="M57">
        <v>1.512</v>
      </c>
      <c r="N57">
        <v>1.502</v>
      </c>
      <c r="O57">
        <v>1.4990000000000001</v>
      </c>
      <c r="P57">
        <v>1.5089999999999999</v>
      </c>
      <c r="Q57">
        <v>1.506</v>
      </c>
      <c r="R57">
        <v>1.5089999999999999</v>
      </c>
      <c r="V57">
        <v>27</v>
      </c>
      <c r="Y57">
        <v>1.722</v>
      </c>
    </row>
    <row r="58" spans="2:25" x14ac:dyDescent="0.4">
      <c r="B58">
        <v>27</v>
      </c>
      <c r="C58">
        <v>1.8859999999999999</v>
      </c>
      <c r="D58">
        <v>1.8149999999999999</v>
      </c>
      <c r="E58">
        <v>1.7190000000000001</v>
      </c>
      <c r="F58">
        <v>1.633</v>
      </c>
      <c r="G58">
        <v>1.5980000000000001</v>
      </c>
      <c r="H58">
        <v>1.575</v>
      </c>
      <c r="I58">
        <v>1.542</v>
      </c>
      <c r="L58">
        <v>27</v>
      </c>
      <c r="M58">
        <v>1.504</v>
      </c>
      <c r="N58">
        <v>1.5089999999999999</v>
      </c>
      <c r="O58">
        <v>1.5089999999999999</v>
      </c>
      <c r="P58">
        <v>1.5089999999999999</v>
      </c>
      <c r="Q58">
        <v>1.506</v>
      </c>
      <c r="R58">
        <v>1.5089999999999999</v>
      </c>
      <c r="V58">
        <v>27</v>
      </c>
      <c r="Y58">
        <v>1.722</v>
      </c>
    </row>
    <row r="59" spans="2:25" x14ac:dyDescent="0.4">
      <c r="B59">
        <v>28</v>
      </c>
      <c r="C59">
        <v>1.8959999999999999</v>
      </c>
      <c r="D59">
        <v>1.8220000000000001</v>
      </c>
      <c r="E59">
        <v>1.7190000000000001</v>
      </c>
      <c r="F59">
        <v>1.643</v>
      </c>
      <c r="G59">
        <v>1.5880000000000001</v>
      </c>
      <c r="H59">
        <v>1.575</v>
      </c>
      <c r="I59">
        <v>1.55</v>
      </c>
      <c r="L59">
        <v>28</v>
      </c>
      <c r="M59">
        <v>1.512</v>
      </c>
      <c r="N59">
        <v>1.512</v>
      </c>
      <c r="O59">
        <v>1.496</v>
      </c>
      <c r="P59">
        <v>1.506</v>
      </c>
      <c r="Q59">
        <v>1.506</v>
      </c>
      <c r="R59">
        <v>1.496</v>
      </c>
      <c r="V59">
        <v>28</v>
      </c>
      <c r="Y59">
        <v>1.722</v>
      </c>
    </row>
    <row r="60" spans="2:25" x14ac:dyDescent="0.4">
      <c r="B60">
        <v>28</v>
      </c>
      <c r="C60">
        <v>1.9059999999999999</v>
      </c>
      <c r="D60">
        <v>1.8220000000000001</v>
      </c>
      <c r="E60">
        <v>1.7290000000000001</v>
      </c>
      <c r="F60">
        <v>1.653</v>
      </c>
      <c r="G60">
        <v>1.6879999999999999</v>
      </c>
      <c r="H60">
        <v>1.56</v>
      </c>
      <c r="I60">
        <v>1.542</v>
      </c>
      <c r="L60">
        <v>28</v>
      </c>
      <c r="M60">
        <v>1.512</v>
      </c>
      <c r="N60">
        <v>1.51</v>
      </c>
      <c r="O60">
        <v>1.496</v>
      </c>
      <c r="P60">
        <v>1.4990000000000001</v>
      </c>
      <c r="Q60">
        <v>1.504</v>
      </c>
      <c r="R60">
        <v>1.496</v>
      </c>
      <c r="V60">
        <v>28</v>
      </c>
      <c r="Y60">
        <v>1.7290000000000001</v>
      </c>
    </row>
    <row r="61" spans="2:25" x14ac:dyDescent="0.4">
      <c r="B61">
        <v>29</v>
      </c>
      <c r="C61">
        <v>1.8959999999999999</v>
      </c>
      <c r="D61">
        <v>1.8180000000000001</v>
      </c>
      <c r="E61">
        <v>1.732</v>
      </c>
      <c r="F61">
        <v>1.6359999999999999</v>
      </c>
      <c r="G61">
        <v>1.605</v>
      </c>
      <c r="H61">
        <v>1.5720000000000001</v>
      </c>
      <c r="I61">
        <v>1.552</v>
      </c>
      <c r="L61">
        <v>29</v>
      </c>
      <c r="M61">
        <v>1.502</v>
      </c>
      <c r="N61">
        <v>1.502</v>
      </c>
      <c r="O61">
        <v>1.5089999999999999</v>
      </c>
      <c r="P61">
        <v>1.494</v>
      </c>
      <c r="Q61">
        <v>1.504</v>
      </c>
      <c r="R61">
        <v>1.5089999999999999</v>
      </c>
      <c r="V61">
        <v>29</v>
      </c>
      <c r="Y61">
        <v>1.722</v>
      </c>
    </row>
    <row r="62" spans="2:25" x14ac:dyDescent="0.4">
      <c r="B62">
        <v>29</v>
      </c>
      <c r="C62">
        <v>1.889</v>
      </c>
      <c r="D62">
        <v>1.8180000000000001</v>
      </c>
      <c r="E62">
        <v>1.7290000000000001</v>
      </c>
      <c r="F62">
        <v>1.6359999999999999</v>
      </c>
      <c r="G62">
        <v>1.605</v>
      </c>
      <c r="H62">
        <v>1.5720000000000001</v>
      </c>
      <c r="I62">
        <v>1.552</v>
      </c>
      <c r="L62">
        <v>29</v>
      </c>
      <c r="M62">
        <v>1.512</v>
      </c>
      <c r="N62">
        <v>1.502</v>
      </c>
      <c r="O62">
        <v>1.5089999999999999</v>
      </c>
      <c r="P62">
        <v>1.4990000000000001</v>
      </c>
      <c r="Q62">
        <v>1.504</v>
      </c>
      <c r="R62">
        <v>1.506</v>
      </c>
      <c r="V62">
        <v>29</v>
      </c>
      <c r="Y62">
        <v>1.722</v>
      </c>
    </row>
    <row r="63" spans="2:25" x14ac:dyDescent="0.4">
      <c r="B63">
        <v>30</v>
      </c>
      <c r="C63">
        <v>1.899</v>
      </c>
      <c r="D63">
        <v>1.8149999999999999</v>
      </c>
      <c r="E63">
        <v>1.732</v>
      </c>
      <c r="F63">
        <v>1.633</v>
      </c>
      <c r="G63">
        <v>1.5980000000000001</v>
      </c>
      <c r="H63">
        <v>1.575</v>
      </c>
      <c r="I63">
        <v>1.542</v>
      </c>
      <c r="L63">
        <v>30</v>
      </c>
      <c r="M63">
        <v>1.512</v>
      </c>
      <c r="N63">
        <v>1.502</v>
      </c>
      <c r="O63">
        <v>1.5289999999999999</v>
      </c>
      <c r="P63">
        <v>1.506</v>
      </c>
      <c r="Q63">
        <v>1.504</v>
      </c>
      <c r="R63">
        <v>1.506</v>
      </c>
      <c r="V63">
        <v>30</v>
      </c>
      <c r="Y63">
        <v>1.732</v>
      </c>
    </row>
    <row r="64" spans="2:25" x14ac:dyDescent="0.4">
      <c r="B64">
        <v>30</v>
      </c>
      <c r="C64">
        <v>1.899</v>
      </c>
      <c r="D64">
        <v>1.8149999999999999</v>
      </c>
      <c r="E64">
        <v>1.726</v>
      </c>
      <c r="F64">
        <v>1.6459999999999999</v>
      </c>
      <c r="G64">
        <v>1.5980000000000001</v>
      </c>
      <c r="H64">
        <v>1.575</v>
      </c>
      <c r="I64">
        <v>1.552</v>
      </c>
      <c r="L64">
        <v>30</v>
      </c>
      <c r="M64">
        <v>1.512</v>
      </c>
      <c r="N64">
        <v>1.5149999999999999</v>
      </c>
      <c r="O64">
        <v>1.506</v>
      </c>
      <c r="P64">
        <v>1.506</v>
      </c>
      <c r="Q64">
        <v>1.504</v>
      </c>
      <c r="R64">
        <v>1.506</v>
      </c>
      <c r="V64">
        <v>30</v>
      </c>
      <c r="Y64">
        <v>1.732</v>
      </c>
    </row>
    <row r="65" spans="1:25" x14ac:dyDescent="0.4">
      <c r="B65" t="s">
        <v>32</v>
      </c>
      <c r="C65">
        <f>AVERAGE(C3:C64)</f>
        <v>1.8938225806451614</v>
      </c>
      <c r="D65">
        <f t="shared" ref="D65:G65" si="0">AVERAGE(D3:D64)</f>
        <v>1.8137096774193544</v>
      </c>
      <c r="E65">
        <f t="shared" si="0"/>
        <v>1.7232741935483864</v>
      </c>
      <c r="F65">
        <f t="shared" si="0"/>
        <v>1.6362419354838709</v>
      </c>
      <c r="G65">
        <f t="shared" si="0"/>
        <v>1.5922096774193537</v>
      </c>
      <c r="H65">
        <f>AVERAGE(H3:H64)</f>
        <v>1.5545</v>
      </c>
      <c r="I65">
        <f>AVERAGE(I3:I64)</f>
        <v>1.5473064516129043</v>
      </c>
      <c r="M65">
        <f>AVERAGE(M3:M64)</f>
        <v>1.5085</v>
      </c>
      <c r="N65">
        <f t="shared" ref="N65:Q65" si="1">AVERAGE(N3:N64)</f>
        <v>1.5056774193548388</v>
      </c>
      <c r="O65">
        <f t="shared" si="1"/>
        <v>1.5056451612903228</v>
      </c>
      <c r="P65">
        <f t="shared" si="1"/>
        <v>1.5045806451612902</v>
      </c>
      <c r="Q65">
        <f t="shared" si="1"/>
        <v>1.5017419354838717</v>
      </c>
      <c r="R65">
        <f>AVERAGE(R3:R64)</f>
        <v>1.5028709677419352</v>
      </c>
      <c r="Y65">
        <f>AVERAGE(Y3:Y64)</f>
        <v>1.7223870967741925</v>
      </c>
    </row>
    <row r="69" spans="1:25" x14ac:dyDescent="0.4">
      <c r="A69" t="s">
        <v>73</v>
      </c>
    </row>
    <row r="70" spans="1:25" x14ac:dyDescent="0.4">
      <c r="B70" s="2" t="s">
        <v>33</v>
      </c>
      <c r="C70" t="s">
        <v>60</v>
      </c>
      <c r="M70" s="2" t="s">
        <v>61</v>
      </c>
    </row>
    <row r="71" spans="1:25" x14ac:dyDescent="0.4">
      <c r="C71" t="s">
        <v>0</v>
      </c>
      <c r="D71">
        <f>1.893823</f>
        <v>1.893823</v>
      </c>
      <c r="M71" t="s">
        <v>52</v>
      </c>
      <c r="O71" t="s">
        <v>44</v>
      </c>
      <c r="P71" t="s">
        <v>45</v>
      </c>
    </row>
    <row r="72" spans="1:25" x14ac:dyDescent="0.4">
      <c r="C72" t="s">
        <v>1</v>
      </c>
      <c r="D72">
        <v>1.8137099999999999</v>
      </c>
      <c r="N72" t="s">
        <v>35</v>
      </c>
      <c r="O72" s="3">
        <f>TEG_Syncronous_Pipeline_回路規模!$C$2-TEG_Syncronous_Pipeline_回路規模!$C$3</f>
        <v>3775</v>
      </c>
      <c r="P72" s="4">
        <f>$C$65-$D$65</f>
        <v>8.0112903225806997E-2</v>
      </c>
    </row>
    <row r="73" spans="1:25" x14ac:dyDescent="0.4">
      <c r="C73" t="s">
        <v>2</v>
      </c>
      <c r="D73">
        <v>1.723274</v>
      </c>
      <c r="N73" t="s">
        <v>36</v>
      </c>
      <c r="O73" s="3">
        <f>TEG_Syncronous_Pipeline_回路規模!$C$2-TEG_Syncronous_Pipeline_回路規模!$C$4</f>
        <v>8042</v>
      </c>
      <c r="P73" s="4">
        <f>$C$65-$E$65</f>
        <v>0.170548387096775</v>
      </c>
    </row>
    <row r="74" spans="1:25" x14ac:dyDescent="0.4">
      <c r="C74" t="s">
        <v>3</v>
      </c>
      <c r="D74">
        <v>1.636242</v>
      </c>
      <c r="N74" t="s">
        <v>37</v>
      </c>
      <c r="O74" s="3">
        <f>TEG_Syncronous_Pipeline_回路規模!$C$2-TEG_Syncronous_Pipeline_回路規模!$C$5</f>
        <v>17660</v>
      </c>
      <c r="P74" s="4">
        <f>$C$65-$F$65</f>
        <v>0.25758064516129053</v>
      </c>
    </row>
    <row r="75" spans="1:25" x14ac:dyDescent="0.4">
      <c r="C75" t="s">
        <v>4</v>
      </c>
      <c r="D75">
        <v>1.5922099999999999</v>
      </c>
      <c r="N75" t="s">
        <v>38</v>
      </c>
      <c r="O75" s="3">
        <f>TEG_Syncronous_Pipeline_回路規模!$C$2-TEG_Syncronous_Pipeline_回路規模!$C$6</f>
        <v>23794</v>
      </c>
      <c r="P75" s="4">
        <f>$C$65-$G$65</f>
        <v>0.30161290322580769</v>
      </c>
    </row>
    <row r="76" spans="1:25" x14ac:dyDescent="0.4">
      <c r="C76" t="s">
        <v>5</v>
      </c>
      <c r="D76">
        <v>1.5545</v>
      </c>
      <c r="N76" t="s">
        <v>39</v>
      </c>
      <c r="O76" s="3">
        <f>TEG_Syncronous_Pipeline_回路規模!$C$2-TEG_Syncronous_Pipeline_回路規模!$C$7</f>
        <v>26971</v>
      </c>
      <c r="P76" s="4">
        <f>$C$65-$H$65</f>
        <v>0.33932258064516141</v>
      </c>
    </row>
    <row r="77" spans="1:25" x14ac:dyDescent="0.4">
      <c r="N77" t="s">
        <v>40</v>
      </c>
      <c r="O77" s="3">
        <f>TEG_Syncronous_Pipeline_回路規模!$C$3-TEG_Syncronous_Pipeline_回路規模!$C$4</f>
        <v>4267</v>
      </c>
      <c r="P77" s="4">
        <f>$D$65-$E$65</f>
        <v>9.0435483870968003E-2</v>
      </c>
    </row>
    <row r="78" spans="1:25" x14ac:dyDescent="0.4">
      <c r="N78" t="s">
        <v>41</v>
      </c>
      <c r="O78" s="3">
        <f>TEG_Syncronous_Pipeline_回路規模!$C$3-TEG_Syncronous_Pipeline_回路規模!$C$5</f>
        <v>13885</v>
      </c>
      <c r="P78" s="4">
        <f>$D$65-$F$65</f>
        <v>0.17746774193548354</v>
      </c>
    </row>
    <row r="79" spans="1:25" x14ac:dyDescent="0.4">
      <c r="N79" t="s">
        <v>42</v>
      </c>
      <c r="O79" s="3">
        <f>TEG_Syncronous_Pipeline_回路規模!$C$3-TEG_Syncronous_Pipeline_回路規模!$C$6</f>
        <v>20019</v>
      </c>
      <c r="P79" s="4">
        <f>$D$65-$G$65</f>
        <v>0.2215000000000007</v>
      </c>
    </row>
    <row r="80" spans="1:25" x14ac:dyDescent="0.4">
      <c r="N80" t="s">
        <v>43</v>
      </c>
      <c r="O80" s="3">
        <f>TEG_Syncronous_Pipeline_回路規模!$C$3-TEG_Syncronous_Pipeline_回路規模!$C$7</f>
        <v>23196</v>
      </c>
      <c r="P80" s="4">
        <f>$D$65-$H$65</f>
        <v>0.25920967741935441</v>
      </c>
    </row>
    <row r="81" spans="1:16" x14ac:dyDescent="0.4">
      <c r="N81" t="s">
        <v>46</v>
      </c>
      <c r="O81" s="3">
        <f>TEG_Syncronous_Pipeline_回路規模!$C$4-TEG_Syncronous_Pipeline_回路規模!$C$5</f>
        <v>9618</v>
      </c>
      <c r="P81" s="4">
        <f>$E$65-$F$65</f>
        <v>8.7032258064515533E-2</v>
      </c>
    </row>
    <row r="82" spans="1:16" x14ac:dyDescent="0.4">
      <c r="N82" t="s">
        <v>47</v>
      </c>
      <c r="O82" s="3">
        <f>TEG_Syncronous_Pipeline_回路規模!$C$4-TEG_Syncronous_Pipeline_回路規模!$C$6</f>
        <v>15752</v>
      </c>
      <c r="P82" s="4">
        <f>$E$65-$G$65</f>
        <v>0.13106451612903269</v>
      </c>
    </row>
    <row r="83" spans="1:16" x14ac:dyDescent="0.4">
      <c r="N83" t="s">
        <v>48</v>
      </c>
      <c r="O83" s="3">
        <f>TEG_Syncronous_Pipeline_回路規模!$C$4-TEG_Syncronous_Pipeline_回路規模!$C$7</f>
        <v>18929</v>
      </c>
      <c r="P83" s="4">
        <f>$E$65-$H$65</f>
        <v>0.16877419354838641</v>
      </c>
    </row>
    <row r="84" spans="1:16" x14ac:dyDescent="0.4">
      <c r="N84" t="s">
        <v>49</v>
      </c>
      <c r="O84" s="3">
        <f>TEG_Syncronous_Pipeline_回路規模!$C$5-TEG_Syncronous_Pipeline_回路規模!$C$6</f>
        <v>6134</v>
      </c>
      <c r="P84" s="4">
        <f>$F$65-$G$65</f>
        <v>4.403225806451716E-2</v>
      </c>
    </row>
    <row r="85" spans="1:16" x14ac:dyDescent="0.4">
      <c r="N85" t="s">
        <v>50</v>
      </c>
      <c r="O85" s="3">
        <f>TEG_Syncronous_Pipeline_回路規模!$C$5-TEG_Syncronous_Pipeline_回路規模!$C$7</f>
        <v>9311</v>
      </c>
      <c r="P85" s="4">
        <f>$F$65-$H$65</f>
        <v>8.1741935483870876E-2</v>
      </c>
    </row>
    <row r="86" spans="1:16" x14ac:dyDescent="0.4">
      <c r="N86" t="s">
        <v>51</v>
      </c>
      <c r="O86" s="3">
        <f>TEG_Syncronous_Pipeline_回路規模!$C$6-TEG_Syncronous_Pipeline_回路規模!$C$7</f>
        <v>3177</v>
      </c>
      <c r="P86" s="4">
        <f>$G$65-$H$65</f>
        <v>3.7709677419353715E-2</v>
      </c>
    </row>
    <row r="89" spans="1:16" x14ac:dyDescent="0.4">
      <c r="A89" t="s">
        <v>74</v>
      </c>
    </row>
    <row r="90" spans="1:16" x14ac:dyDescent="0.4">
      <c r="A90" s="6" t="s">
        <v>451</v>
      </c>
    </row>
    <row r="91" spans="1:16" x14ac:dyDescent="0.4">
      <c r="B91" t="s">
        <v>59</v>
      </c>
      <c r="F91" t="s">
        <v>56</v>
      </c>
    </row>
    <row r="92" spans="1:16" x14ac:dyDescent="0.4">
      <c r="C92" t="s">
        <v>75</v>
      </c>
      <c r="G92" t="s">
        <v>58</v>
      </c>
      <c r="H92" t="s">
        <v>57</v>
      </c>
    </row>
    <row r="93" spans="1:16" x14ac:dyDescent="0.4">
      <c r="B93" t="s">
        <v>0</v>
      </c>
      <c r="C93">
        <f>$C$65-$M$65</f>
        <v>0.38532258064516145</v>
      </c>
      <c r="F93" t="s">
        <v>35</v>
      </c>
      <c r="G93" s="3">
        <f>TEG_Syncronous_Pipeline_回路規模!$C$2-TEG_Syncronous_Pipeline_回路規模!$C$3</f>
        <v>3775</v>
      </c>
      <c r="H93">
        <f>$C$93-$C$94</f>
        <v>7.7290322580645832E-2</v>
      </c>
    </row>
    <row r="94" spans="1:16" x14ac:dyDescent="0.4">
      <c r="B94" t="s">
        <v>1</v>
      </c>
      <c r="C94">
        <f>$D$65-$N$65</f>
        <v>0.30803225806451562</v>
      </c>
      <c r="F94" t="s">
        <v>36</v>
      </c>
      <c r="G94" s="3">
        <f>TEG_Syncronous_Pipeline_回路規模!$C$2-TEG_Syncronous_Pipeline_回路規模!$C$4</f>
        <v>8042</v>
      </c>
      <c r="H94">
        <f>$C$93-$C$95</f>
        <v>0.16769354838709782</v>
      </c>
    </row>
    <row r="95" spans="1:16" x14ac:dyDescent="0.4">
      <c r="B95" t="s">
        <v>2</v>
      </c>
      <c r="C95">
        <f>$E$65-$O$65</f>
        <v>0.21762903225806363</v>
      </c>
      <c r="F95" t="s">
        <v>37</v>
      </c>
      <c r="G95" s="3">
        <f>TEG_Syncronous_Pipeline_回路規模!$C$2-TEG_Syncronous_Pipeline_回路規模!$C$5</f>
        <v>17660</v>
      </c>
      <c r="H95">
        <f>$C$93-$C$96</f>
        <v>0.25366129032258078</v>
      </c>
    </row>
    <row r="96" spans="1:16" x14ac:dyDescent="0.4">
      <c r="B96" t="s">
        <v>3</v>
      </c>
      <c r="C96">
        <f>$F$65-$P$65</f>
        <v>0.13166129032258067</v>
      </c>
      <c r="F96" t="s">
        <v>38</v>
      </c>
      <c r="G96" s="3">
        <f>TEG_Syncronous_Pipeline_回路規模!$C$2-TEG_Syncronous_Pipeline_回路規模!$C$6</f>
        <v>23794</v>
      </c>
      <c r="H96">
        <f>$C$93-$C$97</f>
        <v>0.29485483870967943</v>
      </c>
    </row>
    <row r="97" spans="2:25" x14ac:dyDescent="0.4">
      <c r="B97" t="s">
        <v>4</v>
      </c>
      <c r="C97">
        <f>$G$65-$Q$65</f>
        <v>9.0467741935482016E-2</v>
      </c>
      <c r="F97" t="s">
        <v>39</v>
      </c>
      <c r="G97" s="3">
        <f>TEG_Syncronous_Pipeline_回路規模!$C$2-TEG_Syncronous_Pipeline_回路規模!$C$7</f>
        <v>26971</v>
      </c>
      <c r="H97">
        <f>$C$93-$C$98</f>
        <v>0.33369354838709664</v>
      </c>
    </row>
    <row r="98" spans="2:25" x14ac:dyDescent="0.4">
      <c r="B98" t="s">
        <v>5</v>
      </c>
      <c r="C98">
        <f>$H$65-$R$65</f>
        <v>5.1629032258064811E-2</v>
      </c>
      <c r="F98" t="s">
        <v>40</v>
      </c>
      <c r="G98" s="3">
        <f>TEG_Syncronous_Pipeline_回路規模!$C$3-TEG_Syncronous_Pipeline_回路規模!$C$4</f>
        <v>4267</v>
      </c>
      <c r="H98">
        <f>$C$94-$C$95</f>
        <v>9.0403225806451992E-2</v>
      </c>
      <c r="V98" t="s">
        <v>44</v>
      </c>
      <c r="W98" t="s">
        <v>81</v>
      </c>
      <c r="X98" t="s">
        <v>82</v>
      </c>
      <c r="Y98" t="s">
        <v>83</v>
      </c>
    </row>
    <row r="99" spans="2:25" x14ac:dyDescent="0.4">
      <c r="F99" t="s">
        <v>41</v>
      </c>
      <c r="G99" s="3">
        <f>TEG_Syncronous_Pipeline_回路規模!$C$3-TEG_Syncronous_Pipeline_回路規模!$C$5</f>
        <v>13885</v>
      </c>
      <c r="H99">
        <f>$C$94-$C$96</f>
        <v>0.17637096774193495</v>
      </c>
      <c r="U99" t="s">
        <v>35</v>
      </c>
      <c r="V99" s="3">
        <f>TEG_Syncronous_Pipeline_回路規模!$C$2-TEG_Syncronous_Pipeline_回路規模!$C$3</f>
        <v>3775</v>
      </c>
      <c r="W99" s="4">
        <f>$C$65-$D$65</f>
        <v>8.0112903225806997E-2</v>
      </c>
      <c r="X99">
        <f>$C$93-$C$94</f>
        <v>7.7290322580645832E-2</v>
      </c>
      <c r="Y99">
        <f>$C$130-$C$131</f>
        <v>7.6000000000000012E-2</v>
      </c>
    </row>
    <row r="100" spans="2:25" x14ac:dyDescent="0.4">
      <c r="F100" t="s">
        <v>42</v>
      </c>
      <c r="G100" s="3">
        <f>TEG_Syncronous_Pipeline_回路規模!$C$3-TEG_Syncronous_Pipeline_回路規模!$C$6</f>
        <v>20019</v>
      </c>
      <c r="H100">
        <f>$C$94-$C$97</f>
        <v>0.2175645161290336</v>
      </c>
      <c r="U100" t="s">
        <v>36</v>
      </c>
      <c r="V100" s="3">
        <f>TEG_Syncronous_Pipeline_回路規模!$C$2-TEG_Syncronous_Pipeline_回路規模!$C$4</f>
        <v>8042</v>
      </c>
      <c r="W100" s="4">
        <f>$C$65-$E$65</f>
        <v>0.170548387096775</v>
      </c>
      <c r="X100">
        <f>$C$93-$C$95</f>
        <v>0.16769354838709782</v>
      </c>
      <c r="Y100">
        <f>$C$130-$C$132</f>
        <v>0.17400000000000004</v>
      </c>
    </row>
    <row r="101" spans="2:25" x14ac:dyDescent="0.4">
      <c r="F101" t="s">
        <v>43</v>
      </c>
      <c r="G101" s="3">
        <f>TEG_Syncronous_Pipeline_回路規模!$C$3-TEG_Syncronous_Pipeline_回路規模!$C$7</f>
        <v>23196</v>
      </c>
      <c r="H101">
        <f>$C$94-$C$98</f>
        <v>0.25640322580645081</v>
      </c>
      <c r="U101" t="s">
        <v>37</v>
      </c>
      <c r="V101" s="3">
        <f>TEG_Syncronous_Pipeline_回路規模!$C$2-TEG_Syncronous_Pipeline_回路規模!$C$5</f>
        <v>17660</v>
      </c>
      <c r="W101" s="4">
        <f>$C$65-$F$65</f>
        <v>0.25758064516129053</v>
      </c>
      <c r="X101">
        <f>$C$93-$C$96</f>
        <v>0.25366129032258078</v>
      </c>
      <c r="Y101">
        <f>$C$130-$C$133</f>
        <v>0.27200000000000002</v>
      </c>
    </row>
    <row r="102" spans="2:25" x14ac:dyDescent="0.4">
      <c r="F102" t="s">
        <v>46</v>
      </c>
      <c r="G102" s="3">
        <f>TEG_Syncronous_Pipeline_回路規模!$C$4-TEG_Syncronous_Pipeline_回路規模!$C$5</f>
        <v>9618</v>
      </c>
      <c r="H102">
        <f>$C$95-$C$96</f>
        <v>8.5967741935482955E-2</v>
      </c>
      <c r="U102" t="s">
        <v>38</v>
      </c>
      <c r="V102" s="3">
        <f>TEG_Syncronous_Pipeline_回路規模!$C$2-TEG_Syncronous_Pipeline_回路規模!$C$6</f>
        <v>23794</v>
      </c>
      <c r="W102" s="4">
        <f>$C$65-$G$65</f>
        <v>0.30161290322580769</v>
      </c>
      <c r="X102">
        <f>$C$93-$C$97</f>
        <v>0.29485483870967943</v>
      </c>
      <c r="Y102">
        <f>$C$130-$C$134</f>
        <v>0.32200000000000006</v>
      </c>
    </row>
    <row r="103" spans="2:25" x14ac:dyDescent="0.4">
      <c r="F103" t="s">
        <v>47</v>
      </c>
      <c r="G103" s="3">
        <f>TEG_Syncronous_Pipeline_回路規模!$C$4-TEG_Syncronous_Pipeline_回路規模!$C$6</f>
        <v>15752</v>
      </c>
      <c r="H103">
        <f>$C$95-$C$97</f>
        <v>0.12716129032258161</v>
      </c>
      <c r="U103" t="s">
        <v>39</v>
      </c>
      <c r="V103" s="3">
        <f>TEG_Syncronous_Pipeline_回路規模!$C$2-TEG_Syncronous_Pipeline_回路規模!$C$7</f>
        <v>26971</v>
      </c>
      <c r="W103" s="4">
        <f>$C$65-$H$65</f>
        <v>0.33932258064516141</v>
      </c>
      <c r="X103">
        <f>$C$93-$C$98</f>
        <v>0.33369354838709664</v>
      </c>
      <c r="Y103">
        <f>$C$130-$C$135</f>
        <v>0.34500000000000003</v>
      </c>
    </row>
    <row r="104" spans="2:25" x14ac:dyDescent="0.4">
      <c r="F104" t="s">
        <v>48</v>
      </c>
      <c r="G104" s="3">
        <f>TEG_Syncronous_Pipeline_回路規模!$C$4-TEG_Syncronous_Pipeline_回路規模!$C$7</f>
        <v>18929</v>
      </c>
      <c r="H104">
        <f>$C$95-$C$98</f>
        <v>0.16599999999999882</v>
      </c>
      <c r="U104" t="s">
        <v>40</v>
      </c>
      <c r="V104" s="3">
        <f>TEG_Syncronous_Pipeline_回路規模!$C$3-TEG_Syncronous_Pipeline_回路規模!$C$4</f>
        <v>4267</v>
      </c>
      <c r="W104" s="4">
        <f>$D$65-$E$65</f>
        <v>9.0435483870968003E-2</v>
      </c>
      <c r="X104">
        <f>$C$94-$C$95</f>
        <v>9.0403225806451992E-2</v>
      </c>
      <c r="Y104">
        <f>$C$131-$C$132</f>
        <v>9.8000000000000032E-2</v>
      </c>
    </row>
    <row r="105" spans="2:25" x14ac:dyDescent="0.4">
      <c r="F105" t="s">
        <v>49</v>
      </c>
      <c r="G105" s="3">
        <f>TEG_Syncronous_Pipeline_回路規模!$C$5-TEG_Syncronous_Pipeline_回路規模!$C$6</f>
        <v>6134</v>
      </c>
      <c r="H105">
        <f>$C$96-$C$97</f>
        <v>4.1193548387098655E-2</v>
      </c>
      <c r="U105" t="s">
        <v>41</v>
      </c>
      <c r="V105" s="3">
        <f>TEG_Syncronous_Pipeline_回路規模!$C$3-TEG_Syncronous_Pipeline_回路規模!$C$5</f>
        <v>13885</v>
      </c>
      <c r="W105" s="4">
        <f>$D$65-$F$65</f>
        <v>0.17746774193548354</v>
      </c>
      <c r="X105">
        <f>$C$94-$C$96</f>
        <v>0.17637096774193495</v>
      </c>
      <c r="Y105">
        <f>$C$131-$C$133</f>
        <v>0.19600000000000001</v>
      </c>
    </row>
    <row r="106" spans="2:25" x14ac:dyDescent="0.4">
      <c r="F106" t="s">
        <v>50</v>
      </c>
      <c r="G106" s="3">
        <f>TEG_Syncronous_Pipeline_回路規模!$C$5-TEG_Syncronous_Pipeline_回路規模!$C$7</f>
        <v>9311</v>
      </c>
      <c r="H106">
        <f>$C$96-$C$98</f>
        <v>8.003225806451586E-2</v>
      </c>
      <c r="U106" t="s">
        <v>42</v>
      </c>
      <c r="V106" s="3">
        <f>TEG_Syncronous_Pipeline_回路規模!$C$3-TEG_Syncronous_Pipeline_回路規模!$C$6</f>
        <v>20019</v>
      </c>
      <c r="W106" s="4">
        <f>$D$65-$G$65</f>
        <v>0.2215000000000007</v>
      </c>
      <c r="X106">
        <f>$C$94-$C$97</f>
        <v>0.2175645161290336</v>
      </c>
      <c r="Y106">
        <f>$C$131-$C$134</f>
        <v>0.24600000000000002</v>
      </c>
    </row>
    <row r="107" spans="2:25" x14ac:dyDescent="0.4">
      <c r="F107" t="s">
        <v>51</v>
      </c>
      <c r="G107" s="3">
        <f>TEG_Syncronous_Pipeline_回路規模!$C$6-TEG_Syncronous_Pipeline_回路規模!$C$7</f>
        <v>3177</v>
      </c>
      <c r="H107">
        <f>$C$97-$C$98</f>
        <v>3.8838709677417205E-2</v>
      </c>
      <c r="U107" t="s">
        <v>43</v>
      </c>
      <c r="V107" s="3">
        <f>TEG_Syncronous_Pipeline_回路規模!$C$3-TEG_Syncronous_Pipeline_回路規模!$C$7</f>
        <v>23196</v>
      </c>
      <c r="W107" s="4">
        <f>$D$65-$H$65</f>
        <v>0.25920967741935441</v>
      </c>
      <c r="X107">
        <f>$C$94-$C$98</f>
        <v>0.25640322580645081</v>
      </c>
      <c r="Y107">
        <f>$C$131-$C$135</f>
        <v>0.26900000000000002</v>
      </c>
    </row>
    <row r="108" spans="2:25" x14ac:dyDescent="0.4">
      <c r="U108" t="s">
        <v>46</v>
      </c>
      <c r="V108" s="3">
        <f>TEG_Syncronous_Pipeline_回路規模!$C$4-TEG_Syncronous_Pipeline_回路規模!$C$5</f>
        <v>9618</v>
      </c>
      <c r="W108" s="4">
        <f>$E$65-$F$65</f>
        <v>8.7032258064515533E-2</v>
      </c>
      <c r="X108">
        <f>$C$95-$C$96</f>
        <v>8.5967741935482955E-2</v>
      </c>
      <c r="Y108">
        <f>$C$132-$C$133</f>
        <v>9.7999999999999976E-2</v>
      </c>
    </row>
    <row r="109" spans="2:25" x14ac:dyDescent="0.4">
      <c r="U109" t="s">
        <v>47</v>
      </c>
      <c r="V109" s="3">
        <f>TEG_Syncronous_Pipeline_回路規模!$C$4-TEG_Syncronous_Pipeline_回路規模!$C$6</f>
        <v>15752</v>
      </c>
      <c r="W109" s="4">
        <f>$E$65-$G$65</f>
        <v>0.13106451612903269</v>
      </c>
      <c r="X109">
        <f>$C$95-$C$97</f>
        <v>0.12716129032258161</v>
      </c>
      <c r="Y109">
        <f>$C$132-$C$134</f>
        <v>0.14799999999999999</v>
      </c>
    </row>
    <row r="110" spans="2:25" x14ac:dyDescent="0.4">
      <c r="U110" t="s">
        <v>48</v>
      </c>
      <c r="V110" s="3">
        <f>TEG_Syncronous_Pipeline_回路規模!$C$4-TEG_Syncronous_Pipeline_回路規模!$C$7</f>
        <v>18929</v>
      </c>
      <c r="W110" s="4">
        <f>$E$65-$H$65</f>
        <v>0.16877419354838641</v>
      </c>
      <c r="X110">
        <f>$C$95-$C$98</f>
        <v>0.16599999999999882</v>
      </c>
      <c r="Y110">
        <f>$C$132-$C$135</f>
        <v>0.17099999999999999</v>
      </c>
    </row>
    <row r="111" spans="2:25" x14ac:dyDescent="0.4">
      <c r="U111" t="s">
        <v>49</v>
      </c>
      <c r="V111" s="3">
        <f>TEG_Syncronous_Pipeline_回路規模!$C$5-TEG_Syncronous_Pipeline_回路規模!$C$6</f>
        <v>6134</v>
      </c>
      <c r="W111" s="4">
        <f>$F$65-$G$65</f>
        <v>4.403225806451716E-2</v>
      </c>
      <c r="X111">
        <f>$C$96-$C$97</f>
        <v>4.1193548387098655E-2</v>
      </c>
      <c r="Y111">
        <f>$C$133-$C$134</f>
        <v>5.0000000000000017E-2</v>
      </c>
    </row>
    <row r="112" spans="2:25" x14ac:dyDescent="0.4">
      <c r="U112" t="s">
        <v>50</v>
      </c>
      <c r="V112" s="3">
        <f>TEG_Syncronous_Pipeline_回路規模!$C$5-TEG_Syncronous_Pipeline_回路規模!$C$7</f>
        <v>9311</v>
      </c>
      <c r="W112" s="4">
        <f>$F$65-$H$65</f>
        <v>8.1741935483870876E-2</v>
      </c>
      <c r="X112">
        <f>$C$96-$C$98</f>
        <v>8.003225806451586E-2</v>
      </c>
      <c r="Y112">
        <f>$C$133-$C$135</f>
        <v>7.3000000000000009E-2</v>
      </c>
    </row>
    <row r="113" spans="1:32" x14ac:dyDescent="0.4">
      <c r="U113" t="s">
        <v>51</v>
      </c>
      <c r="V113" s="3">
        <f>TEG_Syncronous_Pipeline_回路規模!$C$6-TEG_Syncronous_Pipeline_回路規模!$C$7</f>
        <v>3177</v>
      </c>
      <c r="W113" s="4">
        <f>$G$65-$H$65</f>
        <v>3.7709677419353715E-2</v>
      </c>
      <c r="X113">
        <f>$C$97-$C$98</f>
        <v>3.8838709677417205E-2</v>
      </c>
      <c r="Y113">
        <f>$C$134-$C$135</f>
        <v>2.2999999999999993E-2</v>
      </c>
    </row>
    <row r="118" spans="1:32" x14ac:dyDescent="0.4">
      <c r="AB118" t="s">
        <v>101</v>
      </c>
    </row>
    <row r="119" spans="1:32" x14ac:dyDescent="0.4">
      <c r="AC119" s="5" t="s">
        <v>100</v>
      </c>
      <c r="AD119" t="s">
        <v>81</v>
      </c>
      <c r="AE119" t="s">
        <v>82</v>
      </c>
      <c r="AF119" t="s">
        <v>83</v>
      </c>
    </row>
    <row r="120" spans="1:32" x14ac:dyDescent="0.4">
      <c r="AB120" t="s">
        <v>35</v>
      </c>
      <c r="AC120" s="5">
        <f>TEG_Syncronous_Pipeline_回路規模!$D$11-TEG_Syncronous_Pipeline_回路規模!$D$12</f>
        <v>12796</v>
      </c>
      <c r="AD120" s="4">
        <f>$C$65-$D$65</f>
        <v>8.0112903225806997E-2</v>
      </c>
      <c r="AE120">
        <f>$C$93-$C$94</f>
        <v>7.7290322580645832E-2</v>
      </c>
      <c r="AF120">
        <f>$C$130-$C$131</f>
        <v>7.6000000000000012E-2</v>
      </c>
    </row>
    <row r="121" spans="1:32" x14ac:dyDescent="0.4">
      <c r="AB121" t="s">
        <v>36</v>
      </c>
      <c r="AC121" s="3">
        <f>TEG_Syncronous_Pipeline_回路規模!$D$11-TEG_Syncronous_Pipeline_回路規模!$D$13</f>
        <v>25596</v>
      </c>
      <c r="AD121" s="4">
        <f>$C$65-$E$65</f>
        <v>0.170548387096775</v>
      </c>
      <c r="AE121">
        <f>$C$93-$C$95</f>
        <v>0.16769354838709782</v>
      </c>
      <c r="AF121">
        <f>$C$130-$C$132</f>
        <v>0.17400000000000004</v>
      </c>
    </row>
    <row r="122" spans="1:32" x14ac:dyDescent="0.4">
      <c r="AB122" t="s">
        <v>37</v>
      </c>
      <c r="AC122" s="3">
        <f>TEG_Syncronous_Pipeline_回路規模!$D$11-TEG_Syncronous_Pipeline_回路規模!$D$14</f>
        <v>38396</v>
      </c>
      <c r="AD122" s="4">
        <f>$C$65-$F$65</f>
        <v>0.25758064516129053</v>
      </c>
      <c r="AE122">
        <f>$C$93-$C$96</f>
        <v>0.25366129032258078</v>
      </c>
      <c r="AF122">
        <f>$C$130-$C$133</f>
        <v>0.27200000000000002</v>
      </c>
    </row>
    <row r="123" spans="1:32" x14ac:dyDescent="0.4">
      <c r="AB123" t="s">
        <v>38</v>
      </c>
      <c r="AC123" s="3">
        <f>TEG_Syncronous_Pipeline_回路規模!$D$11-TEG_Syncronous_Pipeline_回路規模!$D$15</f>
        <v>44796</v>
      </c>
      <c r="AD123" s="4">
        <f>$C$65-$G$65</f>
        <v>0.30161290322580769</v>
      </c>
      <c r="AE123">
        <f>$C$93-$C$97</f>
        <v>0.29485483870967943</v>
      </c>
      <c r="AF123">
        <f>$C$130-$C$134</f>
        <v>0.32200000000000006</v>
      </c>
    </row>
    <row r="124" spans="1:32" x14ac:dyDescent="0.4">
      <c r="AB124" t="s">
        <v>39</v>
      </c>
      <c r="AC124" s="3">
        <f>TEG_Syncronous_Pipeline_回路規模!$D$11-TEG_Syncronous_Pipeline_回路規模!$D$16</f>
        <v>47996</v>
      </c>
      <c r="AD124" s="4">
        <f>$C$65-$H$65</f>
        <v>0.33932258064516141</v>
      </c>
      <c r="AE124">
        <f>$C$93-$C$98</f>
        <v>0.33369354838709664</v>
      </c>
      <c r="AF124">
        <f>$C$130-$C$135</f>
        <v>0.34500000000000003</v>
      </c>
    </row>
    <row r="125" spans="1:32" x14ac:dyDescent="0.4">
      <c r="AB125" t="s">
        <v>40</v>
      </c>
      <c r="AC125" s="3">
        <f>TEG_Syncronous_Pipeline_回路規模!$D$12-TEG_Syncronous_Pipeline_回路規模!$D$13</f>
        <v>12800</v>
      </c>
      <c r="AD125" s="4">
        <f>$D$65-$E$65</f>
        <v>9.0435483870968003E-2</v>
      </c>
      <c r="AE125">
        <f>$C$94-$C$95</f>
        <v>9.0403225806451992E-2</v>
      </c>
      <c r="AF125">
        <f>$C$131-$C$132</f>
        <v>9.8000000000000032E-2</v>
      </c>
    </row>
    <row r="126" spans="1:32" x14ac:dyDescent="0.4">
      <c r="AB126" t="s">
        <v>41</v>
      </c>
      <c r="AC126" s="3">
        <f>TEG_Syncronous_Pipeline_回路規模!$D$12-TEG_Syncronous_Pipeline_回路規模!$D$14</f>
        <v>25600</v>
      </c>
      <c r="AD126" s="4">
        <f>$D$65-$F$65</f>
        <v>0.17746774193548354</v>
      </c>
      <c r="AE126">
        <f>$C$94-$C$96</f>
        <v>0.17637096774193495</v>
      </c>
      <c r="AF126">
        <f>$C$131-$C$133</f>
        <v>0.19600000000000001</v>
      </c>
    </row>
    <row r="127" spans="1:32" x14ac:dyDescent="0.4">
      <c r="AB127" t="s">
        <v>42</v>
      </c>
      <c r="AC127" s="3">
        <f>TEG_Syncronous_Pipeline_回路規模!$D$12-TEG_Syncronous_Pipeline_回路規模!$D$15</f>
        <v>32000</v>
      </c>
      <c r="AD127" s="4">
        <f>$D$65-$G$65</f>
        <v>0.2215000000000007</v>
      </c>
      <c r="AE127">
        <f>$C$94-$C$97</f>
        <v>0.2175645161290336</v>
      </c>
      <c r="AF127">
        <f>$C$131-$C$134</f>
        <v>0.24600000000000002</v>
      </c>
    </row>
    <row r="128" spans="1:32" x14ac:dyDescent="0.4">
      <c r="A128" t="s">
        <v>72</v>
      </c>
      <c r="AB128" t="s">
        <v>43</v>
      </c>
      <c r="AC128" s="3">
        <f>TEG_Syncronous_Pipeline_回路規模!$D$12-TEG_Syncronous_Pipeline_回路規模!$D$16</f>
        <v>35200</v>
      </c>
      <c r="AD128" s="4">
        <f>$D$65-$H$65</f>
        <v>0.25920967741935441</v>
      </c>
      <c r="AE128">
        <f>$C$94-$C$98</f>
        <v>0.25640322580645081</v>
      </c>
      <c r="AF128">
        <f>$C$131-$C$135</f>
        <v>0.26900000000000002</v>
      </c>
    </row>
    <row r="129" spans="2:32" x14ac:dyDescent="0.4">
      <c r="C129" t="s">
        <v>57</v>
      </c>
      <c r="N129" t="s">
        <v>58</v>
      </c>
      <c r="O129" t="s">
        <v>57</v>
      </c>
      <c r="AB129" t="s">
        <v>46</v>
      </c>
      <c r="AC129" s="3">
        <f>TEG_Syncronous_Pipeline_回路規模!$D$13-TEG_Syncronous_Pipeline_回路規模!$D$14</f>
        <v>12800</v>
      </c>
      <c r="AD129" s="4">
        <f>$E$65-$F$65</f>
        <v>8.7032258064515533E-2</v>
      </c>
      <c r="AE129">
        <f>$C$95-$C$96</f>
        <v>8.5967741935482955E-2</v>
      </c>
      <c r="AF129">
        <f>$C$132-$C$133</f>
        <v>9.7999999999999976E-2</v>
      </c>
    </row>
    <row r="130" spans="2:32" x14ac:dyDescent="0.4">
      <c r="B130" t="s">
        <v>0</v>
      </c>
      <c r="C130">
        <v>0.54200000000000004</v>
      </c>
      <c r="M130" t="s">
        <v>35</v>
      </c>
      <c r="N130" s="3">
        <f>TEG_Syncronous_Pipeline_回路規模!$C$2-TEG_Syncronous_Pipeline_回路規模!$C$3</f>
        <v>3775</v>
      </c>
      <c r="O130">
        <f>$C$130-$C$131</f>
        <v>7.6000000000000012E-2</v>
      </c>
      <c r="AB130" t="s">
        <v>47</v>
      </c>
      <c r="AC130" s="3">
        <f>TEG_Syncronous_Pipeline_回路規模!$D$13-TEG_Syncronous_Pipeline_回路規模!$D$15</f>
        <v>19200</v>
      </c>
      <c r="AD130" s="4">
        <f>$E$65-$G$65</f>
        <v>0.13106451612903269</v>
      </c>
      <c r="AE130">
        <f>$C$95-$C$97</f>
        <v>0.12716129032258161</v>
      </c>
      <c r="AF130">
        <f>$C$132-$C$134</f>
        <v>0.14799999999999999</v>
      </c>
    </row>
    <row r="131" spans="2:32" x14ac:dyDescent="0.4">
      <c r="B131" t="s">
        <v>1</v>
      </c>
      <c r="C131">
        <v>0.46600000000000003</v>
      </c>
      <c r="M131" t="s">
        <v>36</v>
      </c>
      <c r="N131" s="3">
        <f>TEG_Syncronous_Pipeline_回路規模!$C$2-TEG_Syncronous_Pipeline_回路規模!$C$4</f>
        <v>8042</v>
      </c>
      <c r="O131">
        <f>$C$130-$C$132</f>
        <v>0.17400000000000004</v>
      </c>
      <c r="AB131" t="s">
        <v>48</v>
      </c>
      <c r="AC131" s="3">
        <f>TEG_Syncronous_Pipeline_回路規模!$D$13-TEG_Syncronous_Pipeline_回路規模!$D$16</f>
        <v>22400</v>
      </c>
      <c r="AD131" s="4">
        <f>$E$65-$H$65</f>
        <v>0.16877419354838641</v>
      </c>
      <c r="AE131">
        <f>$C$95-$C$98</f>
        <v>0.16599999999999882</v>
      </c>
      <c r="AF131">
        <f>$C$132-$C$135</f>
        <v>0.17099999999999999</v>
      </c>
    </row>
    <row r="132" spans="2:32" x14ac:dyDescent="0.4">
      <c r="B132" t="s">
        <v>2</v>
      </c>
      <c r="C132">
        <v>0.36799999999999999</v>
      </c>
      <c r="M132" t="s">
        <v>37</v>
      </c>
      <c r="N132" s="3">
        <f>TEG_Syncronous_Pipeline_回路規模!$C$2-TEG_Syncronous_Pipeline_回路規模!$C$5</f>
        <v>17660</v>
      </c>
      <c r="O132">
        <f>$C$130-$C$133</f>
        <v>0.27200000000000002</v>
      </c>
      <c r="AB132" t="s">
        <v>49</v>
      </c>
      <c r="AC132" s="3">
        <f>TEG_Syncronous_Pipeline_回路規模!$D$14-TEG_Syncronous_Pipeline_回路規模!$D$15</f>
        <v>6400</v>
      </c>
      <c r="AD132" s="4">
        <f>$F$65-$G$65</f>
        <v>4.403225806451716E-2</v>
      </c>
      <c r="AE132">
        <f>$C$96-$C$97</f>
        <v>4.1193548387098655E-2</v>
      </c>
      <c r="AF132">
        <f>$C$133-$C$134</f>
        <v>5.0000000000000017E-2</v>
      </c>
    </row>
    <row r="133" spans="2:32" x14ac:dyDescent="0.4">
      <c r="B133" t="s">
        <v>3</v>
      </c>
      <c r="C133">
        <v>0.27</v>
      </c>
      <c r="M133" t="s">
        <v>38</v>
      </c>
      <c r="N133" s="3">
        <f>TEG_Syncronous_Pipeline_回路規模!$C$2-TEG_Syncronous_Pipeline_回路規模!$C$6</f>
        <v>23794</v>
      </c>
      <c r="O133">
        <f>$C$130-$C$134</f>
        <v>0.32200000000000006</v>
      </c>
      <c r="AB133" t="s">
        <v>50</v>
      </c>
      <c r="AC133" s="3">
        <f>TEG_Syncronous_Pipeline_回路規模!$D$14-TEG_Syncronous_Pipeline_回路規模!$D$16</f>
        <v>9600</v>
      </c>
      <c r="AD133" s="4">
        <f>$F$65-$H$65</f>
        <v>8.1741935483870876E-2</v>
      </c>
      <c r="AE133">
        <f>$C$96-$C$98</f>
        <v>8.003225806451586E-2</v>
      </c>
      <c r="AF133">
        <f>$C$133-$C$135</f>
        <v>7.3000000000000009E-2</v>
      </c>
    </row>
    <row r="134" spans="2:32" x14ac:dyDescent="0.4">
      <c r="B134" t="s">
        <v>4</v>
      </c>
      <c r="C134">
        <v>0.22</v>
      </c>
      <c r="M134" t="s">
        <v>39</v>
      </c>
      <c r="N134" s="3">
        <f>TEG_Syncronous_Pipeline_回路規模!$C$2-TEG_Syncronous_Pipeline_回路規模!$C$7</f>
        <v>26971</v>
      </c>
      <c r="O134">
        <f>$C$130-$C$135</f>
        <v>0.34500000000000003</v>
      </c>
      <c r="AB134" t="s">
        <v>51</v>
      </c>
      <c r="AC134" s="3">
        <f>TEG_Syncronous_Pipeline_回路規模!$D$15-TEG_Syncronous_Pipeline_回路規模!$D$16</f>
        <v>3200</v>
      </c>
      <c r="AD134" s="4">
        <f>$G$65-$H$65</f>
        <v>3.7709677419353715E-2</v>
      </c>
      <c r="AE134">
        <f>$C$97-$C$98</f>
        <v>3.8838709677417205E-2</v>
      </c>
      <c r="AF134">
        <f>$C$134-$C$135</f>
        <v>2.2999999999999993E-2</v>
      </c>
    </row>
    <row r="135" spans="2:32" x14ac:dyDescent="0.4">
      <c r="B135" t="s">
        <v>5</v>
      </c>
      <c r="C135">
        <v>0.19700000000000001</v>
      </c>
      <c r="M135" t="s">
        <v>40</v>
      </c>
      <c r="N135" s="3">
        <f>TEG_Syncronous_Pipeline_回路規模!$C$3-TEG_Syncronous_Pipeline_回路規模!$C$4</f>
        <v>4267</v>
      </c>
      <c r="O135">
        <f>$C$131-$C$132</f>
        <v>9.8000000000000032E-2</v>
      </c>
    </row>
    <row r="136" spans="2:32" x14ac:dyDescent="0.4">
      <c r="B136" t="s">
        <v>134</v>
      </c>
      <c r="C136">
        <v>0.115</v>
      </c>
      <c r="M136" t="s">
        <v>41</v>
      </c>
      <c r="N136" s="3">
        <f>TEG_Syncronous_Pipeline_回路規模!$C$3-TEG_Syncronous_Pipeline_回路規模!$C$5</f>
        <v>13885</v>
      </c>
      <c r="O136">
        <f>$C$131-$C$133</f>
        <v>0.19600000000000001</v>
      </c>
    </row>
    <row r="137" spans="2:32" x14ac:dyDescent="0.4">
      <c r="M137" t="s">
        <v>42</v>
      </c>
      <c r="N137" s="3">
        <f>TEG_Syncronous_Pipeline_回路規模!$C$3-TEG_Syncronous_Pipeline_回路規模!$C$6</f>
        <v>20019</v>
      </c>
      <c r="O137">
        <f>$C$131-$C$134</f>
        <v>0.24600000000000002</v>
      </c>
    </row>
    <row r="138" spans="2:32" x14ac:dyDescent="0.4">
      <c r="M138" t="s">
        <v>43</v>
      </c>
      <c r="N138" s="3">
        <f>TEG_Syncronous_Pipeline_回路規模!$C$3-TEG_Syncronous_Pipeline_回路規模!$C$7</f>
        <v>23196</v>
      </c>
      <c r="O138">
        <f>$C$131-$C$135</f>
        <v>0.26900000000000002</v>
      </c>
    </row>
    <row r="139" spans="2:32" x14ac:dyDescent="0.4">
      <c r="M139" t="s">
        <v>46</v>
      </c>
      <c r="N139" s="3">
        <f>TEG_Syncronous_Pipeline_回路規模!$C$4-TEG_Syncronous_Pipeline_回路規模!$C$5</f>
        <v>9618</v>
      </c>
      <c r="O139">
        <f>$C$132-$C$133</f>
        <v>9.7999999999999976E-2</v>
      </c>
    </row>
    <row r="140" spans="2:32" x14ac:dyDescent="0.4">
      <c r="M140" t="s">
        <v>47</v>
      </c>
      <c r="N140" s="3">
        <f>TEG_Syncronous_Pipeline_回路規模!$C$4-TEG_Syncronous_Pipeline_回路規模!$C$6</f>
        <v>15752</v>
      </c>
      <c r="O140">
        <f>$C$132-$C$134</f>
        <v>0.14799999999999999</v>
      </c>
    </row>
    <row r="141" spans="2:32" x14ac:dyDescent="0.4">
      <c r="M141" t="s">
        <v>48</v>
      </c>
      <c r="N141" s="3">
        <f>TEG_Syncronous_Pipeline_回路規模!$C$4-TEG_Syncronous_Pipeline_回路規模!$C$7</f>
        <v>18929</v>
      </c>
      <c r="O141">
        <f>$C$132-$C$135</f>
        <v>0.17099999999999999</v>
      </c>
    </row>
    <row r="142" spans="2:32" x14ac:dyDescent="0.4">
      <c r="M142" t="s">
        <v>49</v>
      </c>
      <c r="N142" s="3">
        <f>TEG_Syncronous_Pipeline_回路規模!$C$5-TEG_Syncronous_Pipeline_回路規模!$C$6</f>
        <v>6134</v>
      </c>
      <c r="O142">
        <f>$C$133-$C$134</f>
        <v>5.0000000000000017E-2</v>
      </c>
    </row>
    <row r="143" spans="2:32" x14ac:dyDescent="0.4">
      <c r="M143" t="s">
        <v>50</v>
      </c>
      <c r="N143" s="3">
        <f>TEG_Syncronous_Pipeline_回路規模!$C$5-TEG_Syncronous_Pipeline_回路規模!$C$7</f>
        <v>9311</v>
      </c>
      <c r="O143">
        <f>$C$133-$C$135</f>
        <v>7.3000000000000009E-2</v>
      </c>
    </row>
    <row r="144" spans="2:32" x14ac:dyDescent="0.4">
      <c r="M144" t="s">
        <v>51</v>
      </c>
      <c r="N144" s="3">
        <f>TEG_Syncronous_Pipeline_回路規模!$C$6-TEG_Syncronous_Pipeline_回路規模!$C$7</f>
        <v>3177</v>
      </c>
      <c r="O144">
        <f>$C$134-$C$135</f>
        <v>2.2999999999999993E-2</v>
      </c>
    </row>
    <row r="150" spans="1:15" x14ac:dyDescent="0.4">
      <c r="A150" t="s">
        <v>76</v>
      </c>
    </row>
    <row r="151" spans="1:15" x14ac:dyDescent="0.4">
      <c r="C151" t="s">
        <v>77</v>
      </c>
      <c r="D151" t="s">
        <v>78</v>
      </c>
      <c r="E151" t="s">
        <v>79</v>
      </c>
      <c r="N151" t="s">
        <v>44</v>
      </c>
      <c r="O151" t="s">
        <v>80</v>
      </c>
    </row>
    <row r="152" spans="1:15" x14ac:dyDescent="0.4">
      <c r="B152" t="s">
        <v>0</v>
      </c>
      <c r="C152">
        <v>0.54200000000000004</v>
      </c>
      <c r="D152">
        <v>0.14699999999999999</v>
      </c>
      <c r="E152">
        <f>C152-D152</f>
        <v>0.39500000000000002</v>
      </c>
      <c r="M152" t="s">
        <v>35</v>
      </c>
      <c r="N152" s="3">
        <f>TEG_Syncronous_Pipeline_回路規模!$C$2-TEG_Syncronous_Pipeline_回路規模!$C$3</f>
        <v>3775</v>
      </c>
      <c r="O152">
        <f>E152-E153</f>
        <v>7.5999999999999956E-2</v>
      </c>
    </row>
    <row r="153" spans="1:15" x14ac:dyDescent="0.4">
      <c r="B153" t="s">
        <v>1</v>
      </c>
      <c r="C153">
        <v>0.46600000000000003</v>
      </c>
      <c r="D153">
        <v>0.14699999999999999</v>
      </c>
      <c r="E153">
        <f t="shared" ref="E153:E157" si="2">C153-D153</f>
        <v>0.31900000000000006</v>
      </c>
      <c r="M153" t="s">
        <v>36</v>
      </c>
      <c r="N153" s="3">
        <f>TEG_Syncronous_Pipeline_回路規模!$C$2-TEG_Syncronous_Pipeline_回路規模!$C$4</f>
        <v>8042</v>
      </c>
      <c r="O153">
        <f>E152-E154</f>
        <v>0.17400000000000002</v>
      </c>
    </row>
    <row r="154" spans="1:15" x14ac:dyDescent="0.4">
      <c r="B154" t="s">
        <v>2</v>
      </c>
      <c r="C154">
        <v>0.36799999999999999</v>
      </c>
      <c r="D154">
        <v>0.14699999999999999</v>
      </c>
      <c r="E154">
        <f t="shared" si="2"/>
        <v>0.221</v>
      </c>
      <c r="M154" t="s">
        <v>37</v>
      </c>
      <c r="N154" s="3">
        <f>TEG_Syncronous_Pipeline_回路規模!$C$2-TEG_Syncronous_Pipeline_回路規模!$C$5</f>
        <v>17660</v>
      </c>
      <c r="O154">
        <f>E152-E155</f>
        <v>0.27200000000000002</v>
      </c>
    </row>
    <row r="155" spans="1:15" x14ac:dyDescent="0.4">
      <c r="B155" t="s">
        <v>3</v>
      </c>
      <c r="C155">
        <v>0.27</v>
      </c>
      <c r="D155">
        <v>0.14699999999999999</v>
      </c>
      <c r="E155">
        <f t="shared" si="2"/>
        <v>0.12300000000000003</v>
      </c>
      <c r="M155" t="s">
        <v>38</v>
      </c>
      <c r="N155" s="3">
        <f>TEG_Syncronous_Pipeline_回路規模!$C$2-TEG_Syncronous_Pipeline_回路規模!$C$6</f>
        <v>23794</v>
      </c>
      <c r="O155">
        <f>E152-E156</f>
        <v>0.32200000000000001</v>
      </c>
    </row>
    <row r="156" spans="1:15" x14ac:dyDescent="0.4">
      <c r="B156" t="s">
        <v>4</v>
      </c>
      <c r="C156">
        <v>0.22</v>
      </c>
      <c r="D156">
        <v>0.14699999999999999</v>
      </c>
      <c r="E156">
        <f t="shared" si="2"/>
        <v>7.3000000000000009E-2</v>
      </c>
      <c r="M156" t="s">
        <v>39</v>
      </c>
      <c r="N156" s="3">
        <f>TEG_Syncronous_Pipeline_回路規模!$C$2-TEG_Syncronous_Pipeline_回路規模!$C$7</f>
        <v>26971</v>
      </c>
      <c r="O156">
        <f>E152-E157</f>
        <v>0.34499999999999997</v>
      </c>
    </row>
    <row r="157" spans="1:15" x14ac:dyDescent="0.4">
      <c r="B157" t="s">
        <v>5</v>
      </c>
      <c r="C157">
        <v>0.19700000000000001</v>
      </c>
      <c r="D157">
        <v>0.14699999999999999</v>
      </c>
      <c r="E157">
        <f t="shared" si="2"/>
        <v>5.0000000000000017E-2</v>
      </c>
      <c r="M157" t="s">
        <v>40</v>
      </c>
      <c r="N157" s="3">
        <f>TEG_Syncronous_Pipeline_回路規模!$C$3-TEG_Syncronous_Pipeline_回路規模!$C$4</f>
        <v>4267</v>
      </c>
      <c r="O157">
        <f>E153-E154</f>
        <v>9.8000000000000059E-2</v>
      </c>
    </row>
    <row r="158" spans="1:15" x14ac:dyDescent="0.4">
      <c r="M158" t="s">
        <v>41</v>
      </c>
      <c r="N158" s="3">
        <f>TEG_Syncronous_Pipeline_回路規模!$C$3-TEG_Syncronous_Pipeline_回路規模!$C$5</f>
        <v>13885</v>
      </c>
      <c r="O158">
        <f>E153-E155</f>
        <v>0.19600000000000004</v>
      </c>
    </row>
    <row r="159" spans="1:15" x14ac:dyDescent="0.4">
      <c r="M159" t="s">
        <v>42</v>
      </c>
      <c r="N159" s="3">
        <f>TEG_Syncronous_Pipeline_回路規模!$C$3-TEG_Syncronous_Pipeline_回路規模!$C$6</f>
        <v>20019</v>
      </c>
      <c r="O159">
        <f>E153-E156</f>
        <v>0.24600000000000005</v>
      </c>
    </row>
    <row r="160" spans="1:15" x14ac:dyDescent="0.4">
      <c r="M160" t="s">
        <v>43</v>
      </c>
      <c r="N160" s="3">
        <f>TEG_Syncronous_Pipeline_回路規模!$C$3-TEG_Syncronous_Pipeline_回路規模!$C$7</f>
        <v>23196</v>
      </c>
      <c r="O160">
        <f>E153-E157</f>
        <v>0.26900000000000002</v>
      </c>
    </row>
    <row r="161" spans="1:24" x14ac:dyDescent="0.4">
      <c r="M161" t="s">
        <v>46</v>
      </c>
      <c r="N161" s="3">
        <f>TEG_Syncronous_Pipeline_回路規模!$C$4-TEG_Syncronous_Pipeline_回路規模!$C$5</f>
        <v>9618</v>
      </c>
      <c r="O161">
        <f>E154-E155</f>
        <v>9.7999999999999976E-2</v>
      </c>
    </row>
    <row r="162" spans="1:24" x14ac:dyDescent="0.4">
      <c r="M162" t="s">
        <v>47</v>
      </c>
      <c r="N162" s="3">
        <f>TEG_Syncronous_Pipeline_回路規模!$C$4-TEG_Syncronous_Pipeline_回路規模!$C$6</f>
        <v>15752</v>
      </c>
      <c r="O162">
        <f>E154-E156</f>
        <v>0.14799999999999999</v>
      </c>
    </row>
    <row r="163" spans="1:24" x14ac:dyDescent="0.4">
      <c r="M163" t="s">
        <v>48</v>
      </c>
      <c r="N163" s="3">
        <f>TEG_Syncronous_Pipeline_回路規模!$C$4-TEG_Syncronous_Pipeline_回路規模!$C$7</f>
        <v>18929</v>
      </c>
      <c r="O163">
        <f>E154-E157</f>
        <v>0.17099999999999999</v>
      </c>
    </row>
    <row r="164" spans="1:24" x14ac:dyDescent="0.4">
      <c r="M164" t="s">
        <v>49</v>
      </c>
      <c r="N164" s="3">
        <f>TEG_Syncronous_Pipeline_回路規模!$C$5-TEG_Syncronous_Pipeline_回路規模!$C$6</f>
        <v>6134</v>
      </c>
      <c r="O164">
        <f>E155-E156</f>
        <v>5.0000000000000017E-2</v>
      </c>
    </row>
    <row r="165" spans="1:24" x14ac:dyDescent="0.4">
      <c r="M165" t="s">
        <v>50</v>
      </c>
      <c r="N165" s="3">
        <f>TEG_Syncronous_Pipeline_回路規模!$C$5-TEG_Syncronous_Pipeline_回路規模!$C$7</f>
        <v>9311</v>
      </c>
      <c r="O165">
        <f>E155-E157</f>
        <v>7.3000000000000009E-2</v>
      </c>
    </row>
    <row r="166" spans="1:24" x14ac:dyDescent="0.4">
      <c r="M166" t="s">
        <v>51</v>
      </c>
      <c r="N166" s="3">
        <f>TEG_Syncronous_Pipeline_回路規模!$C$6-TEG_Syncronous_Pipeline_回路規模!$C$7</f>
        <v>3177</v>
      </c>
      <c r="O166">
        <f>E156-E157</f>
        <v>2.2999999999999993E-2</v>
      </c>
    </row>
    <row r="168" spans="1:24" x14ac:dyDescent="0.4">
      <c r="S168">
        <f>$C$65-$M$65</f>
        <v>0.38532258064516145</v>
      </c>
      <c r="T168">
        <f>$D$65-$N$65</f>
        <v>0.30803225806451562</v>
      </c>
      <c r="U168">
        <f>$E$65-$O$65</f>
        <v>0.21762903225806363</v>
      </c>
      <c r="V168">
        <f>$F$65-$P$65</f>
        <v>0.13166129032258067</v>
      </c>
      <c r="W168">
        <f>$G$65-$Q$65</f>
        <v>9.0467741935482016E-2</v>
      </c>
      <c r="X168">
        <f>$H$65-$R$65</f>
        <v>5.1629032258064811E-2</v>
      </c>
    </row>
    <row r="172" spans="1:24" x14ac:dyDescent="0.4">
      <c r="A172" t="s">
        <v>92</v>
      </c>
    </row>
    <row r="173" spans="1:24" x14ac:dyDescent="0.4">
      <c r="B173" t="s">
        <v>95</v>
      </c>
      <c r="C173" t="s">
        <v>97</v>
      </c>
      <c r="D173" t="s">
        <v>93</v>
      </c>
      <c r="E173" t="s">
        <v>96</v>
      </c>
      <c r="F173" t="s">
        <v>98</v>
      </c>
      <c r="G173" t="s">
        <v>45</v>
      </c>
      <c r="L173" t="s">
        <v>45</v>
      </c>
      <c r="M173" s="5" t="s">
        <v>99</v>
      </c>
      <c r="N173" t="s">
        <v>103</v>
      </c>
      <c r="O173" s="5" t="s">
        <v>100</v>
      </c>
    </row>
    <row r="174" spans="1:24" x14ac:dyDescent="0.4">
      <c r="A174" t="s">
        <v>35</v>
      </c>
      <c r="B174">
        <v>4</v>
      </c>
      <c r="C174" s="3">
        <f>TEG_Syncronous_Pipeline_回路規模!$C$2-TEG_Syncronous_Pipeline_回路規模!$C$3</f>
        <v>3775</v>
      </c>
      <c r="D174" s="3">
        <f>C174/B174</f>
        <v>943.75</v>
      </c>
      <c r="E174">
        <f>B174*32*100</f>
        <v>12800</v>
      </c>
      <c r="F174" s="3">
        <f>C174-E174</f>
        <v>-9025</v>
      </c>
      <c r="G174">
        <f>$C$130-$C$131</f>
        <v>7.6000000000000012E-2</v>
      </c>
      <c r="K174" t="s">
        <v>35</v>
      </c>
      <c r="L174">
        <f>$C$130-$C$131</f>
        <v>7.6000000000000012E-2</v>
      </c>
      <c r="M174" s="5">
        <f>TEG_Syncronous_Pipeline_回路規模!$C$2-TEG_Syncronous_Pipeline_回路規模!$C$3</f>
        <v>3775</v>
      </c>
      <c r="N174">
        <f>$B$174*32*100</f>
        <v>12800</v>
      </c>
      <c r="O174" s="5">
        <f>TEG_Syncronous_Pipeline_回路規模!$D$11-TEG_Syncronous_Pipeline_回路規模!$D$12</f>
        <v>12796</v>
      </c>
    </row>
    <row r="175" spans="1:24" x14ac:dyDescent="0.4">
      <c r="A175" t="s">
        <v>36</v>
      </c>
      <c r="B175">
        <v>8</v>
      </c>
      <c r="C175" s="3">
        <f>TEG_Syncronous_Pipeline_回路規模!$C$2-TEG_Syncronous_Pipeline_回路規模!$C$4</f>
        <v>8042</v>
      </c>
      <c r="D175" s="3">
        <f t="shared" ref="D175:D188" si="3">C175/B175</f>
        <v>1005.25</v>
      </c>
      <c r="E175">
        <f>B175*32*100</f>
        <v>25600</v>
      </c>
      <c r="F175" s="3">
        <f t="shared" ref="F175:F188" si="4">C175-E175</f>
        <v>-17558</v>
      </c>
      <c r="G175">
        <f>$C$130-$C$132</f>
        <v>0.17400000000000004</v>
      </c>
      <c r="K175" t="s">
        <v>36</v>
      </c>
      <c r="L175">
        <f>$C$130-$C$132</f>
        <v>0.17400000000000004</v>
      </c>
      <c r="M175" s="5">
        <f>TEG_Syncronous_Pipeline_回路規模!$C$2-TEG_Syncronous_Pipeline_回路規模!$C$4</f>
        <v>8042</v>
      </c>
      <c r="N175">
        <f>$B$175*32*100</f>
        <v>25600</v>
      </c>
      <c r="O175" s="3">
        <f>TEG_Syncronous_Pipeline_回路規模!$D$11-TEG_Syncronous_Pipeline_回路規模!$D$13</f>
        <v>25596</v>
      </c>
    </row>
    <row r="176" spans="1:24" x14ac:dyDescent="0.4">
      <c r="A176" t="s">
        <v>37</v>
      </c>
      <c r="B176">
        <v>12</v>
      </c>
      <c r="C176" s="3">
        <f>TEG_Syncronous_Pipeline_回路規模!$C$2-TEG_Syncronous_Pipeline_回路規模!$C$5</f>
        <v>17660</v>
      </c>
      <c r="D176" s="3">
        <f t="shared" si="3"/>
        <v>1471.6666666666667</v>
      </c>
      <c r="E176">
        <f t="shared" ref="E176:E188" si="5">B176*32*100</f>
        <v>38400</v>
      </c>
      <c r="F176" s="3">
        <f t="shared" si="4"/>
        <v>-20740</v>
      </c>
      <c r="G176">
        <f>$C$130-$C$133</f>
        <v>0.27200000000000002</v>
      </c>
      <c r="K176" t="s">
        <v>37</v>
      </c>
      <c r="L176">
        <f>$C$130-$C$133</f>
        <v>0.27200000000000002</v>
      </c>
      <c r="M176" s="5">
        <f>TEG_Syncronous_Pipeline_回路規模!$C$2-TEG_Syncronous_Pipeline_回路規模!$C$5</f>
        <v>17660</v>
      </c>
      <c r="N176">
        <f>$B$176*32*100</f>
        <v>38400</v>
      </c>
      <c r="O176" s="3">
        <f>TEG_Syncronous_Pipeline_回路規模!$D$11-TEG_Syncronous_Pipeline_回路規模!$D$14</f>
        <v>38396</v>
      </c>
    </row>
    <row r="177" spans="1:15" x14ac:dyDescent="0.4">
      <c r="A177" t="s">
        <v>38</v>
      </c>
      <c r="B177">
        <v>14</v>
      </c>
      <c r="C177" s="3">
        <f>TEG_Syncronous_Pipeline_回路規模!$C$2-TEG_Syncronous_Pipeline_回路規模!$C$6</f>
        <v>23794</v>
      </c>
      <c r="D177" s="3">
        <f t="shared" si="3"/>
        <v>1699.5714285714287</v>
      </c>
      <c r="E177">
        <f t="shared" si="5"/>
        <v>44800</v>
      </c>
      <c r="F177" s="3">
        <f t="shared" si="4"/>
        <v>-21006</v>
      </c>
      <c r="G177">
        <f>$C$130-$C$134</f>
        <v>0.32200000000000006</v>
      </c>
      <c r="K177" t="s">
        <v>38</v>
      </c>
      <c r="L177">
        <f>$C$130-$C$134</f>
        <v>0.32200000000000006</v>
      </c>
      <c r="M177" s="5">
        <f>TEG_Syncronous_Pipeline_回路規模!$C$2-TEG_Syncronous_Pipeline_回路規模!$C$6</f>
        <v>23794</v>
      </c>
      <c r="N177">
        <f>$B$177*32*100</f>
        <v>44800</v>
      </c>
      <c r="O177" s="3">
        <f>TEG_Syncronous_Pipeline_回路規模!$D$11-TEG_Syncronous_Pipeline_回路規模!$D$15</f>
        <v>44796</v>
      </c>
    </row>
    <row r="178" spans="1:15" x14ac:dyDescent="0.4">
      <c r="A178" t="s">
        <v>39</v>
      </c>
      <c r="B178">
        <v>15</v>
      </c>
      <c r="C178" s="3">
        <f>TEG_Syncronous_Pipeline_回路規模!$C$2-TEG_Syncronous_Pipeline_回路規模!$C$7</f>
        <v>26971</v>
      </c>
      <c r="D178" s="3">
        <f t="shared" si="3"/>
        <v>1798.0666666666666</v>
      </c>
      <c r="E178">
        <f>B178*32*100</f>
        <v>48000</v>
      </c>
      <c r="F178" s="3">
        <f t="shared" si="4"/>
        <v>-21029</v>
      </c>
      <c r="G178">
        <f>$C$130-$C$135</f>
        <v>0.34500000000000003</v>
      </c>
      <c r="K178" t="s">
        <v>39</v>
      </c>
      <c r="L178">
        <f>$C$130-$C$135</f>
        <v>0.34500000000000003</v>
      </c>
      <c r="M178" s="5">
        <f>TEG_Syncronous_Pipeline_回路規模!$C$2-TEG_Syncronous_Pipeline_回路規模!$C$7</f>
        <v>26971</v>
      </c>
      <c r="N178">
        <f>$B$178*32*100</f>
        <v>48000</v>
      </c>
      <c r="O178" s="3">
        <f>TEG_Syncronous_Pipeline_回路規模!$D$11-TEG_Syncronous_Pipeline_回路規模!$D$16</f>
        <v>47996</v>
      </c>
    </row>
    <row r="179" spans="1:15" x14ac:dyDescent="0.4">
      <c r="A179" t="s">
        <v>40</v>
      </c>
      <c r="B179">
        <v>4</v>
      </c>
      <c r="C179" s="3">
        <f>TEG_Syncronous_Pipeline_回路規模!$C$3-TEG_Syncronous_Pipeline_回路規模!$C$4</f>
        <v>4267</v>
      </c>
      <c r="D179" s="3">
        <f t="shared" si="3"/>
        <v>1066.75</v>
      </c>
      <c r="E179">
        <f t="shared" si="5"/>
        <v>12800</v>
      </c>
      <c r="F179" s="3">
        <f t="shared" si="4"/>
        <v>-8533</v>
      </c>
      <c r="G179">
        <f>$C$131-$C$132</f>
        <v>9.8000000000000032E-2</v>
      </c>
      <c r="K179" t="s">
        <v>40</v>
      </c>
      <c r="L179">
        <f>$C$131-$C$132</f>
        <v>9.8000000000000032E-2</v>
      </c>
      <c r="M179" s="5">
        <f>TEG_Syncronous_Pipeline_回路規模!$C$3-TEG_Syncronous_Pipeline_回路規模!$C$4</f>
        <v>4267</v>
      </c>
      <c r="N179">
        <f>$B$179*32*100</f>
        <v>12800</v>
      </c>
      <c r="O179" s="3">
        <f>TEG_Syncronous_Pipeline_回路規模!$D$12-TEG_Syncronous_Pipeline_回路規模!$D$13</f>
        <v>12800</v>
      </c>
    </row>
    <row r="180" spans="1:15" x14ac:dyDescent="0.4">
      <c r="A180" t="s">
        <v>41</v>
      </c>
      <c r="B180">
        <v>8</v>
      </c>
      <c r="C180" s="3">
        <f>TEG_Syncronous_Pipeline_回路規模!$C$3-TEG_Syncronous_Pipeline_回路規模!$C$5</f>
        <v>13885</v>
      </c>
      <c r="D180" s="3">
        <f t="shared" si="3"/>
        <v>1735.625</v>
      </c>
      <c r="E180">
        <f t="shared" si="5"/>
        <v>25600</v>
      </c>
      <c r="F180" s="3">
        <f t="shared" si="4"/>
        <v>-11715</v>
      </c>
      <c r="G180">
        <f>$C$131-$C$133</f>
        <v>0.19600000000000001</v>
      </c>
      <c r="K180" t="s">
        <v>41</v>
      </c>
      <c r="L180">
        <f>$C$131-$C$133</f>
        <v>0.19600000000000001</v>
      </c>
      <c r="M180" s="5">
        <f>TEG_Syncronous_Pipeline_回路規模!$C$3-TEG_Syncronous_Pipeline_回路規模!$C$5</f>
        <v>13885</v>
      </c>
      <c r="N180">
        <f>$B$180*32*100</f>
        <v>25600</v>
      </c>
      <c r="O180" s="3">
        <f>TEG_Syncronous_Pipeline_回路規模!$D$12-TEG_Syncronous_Pipeline_回路規模!$D$14</f>
        <v>25600</v>
      </c>
    </row>
    <row r="181" spans="1:15" x14ac:dyDescent="0.4">
      <c r="A181" t="s">
        <v>42</v>
      </c>
      <c r="B181">
        <v>10</v>
      </c>
      <c r="C181" s="3">
        <f>TEG_Syncronous_Pipeline_回路規模!$C$3-TEG_Syncronous_Pipeline_回路規模!$C$6</f>
        <v>20019</v>
      </c>
      <c r="D181" s="3">
        <f t="shared" si="3"/>
        <v>2001.9</v>
      </c>
      <c r="E181">
        <f t="shared" si="5"/>
        <v>32000</v>
      </c>
      <c r="F181" s="3">
        <f t="shared" si="4"/>
        <v>-11981</v>
      </c>
      <c r="G181">
        <f>$C$131-$C$134</f>
        <v>0.24600000000000002</v>
      </c>
      <c r="K181" t="s">
        <v>42</v>
      </c>
      <c r="L181">
        <f>$C$131-$C$134</f>
        <v>0.24600000000000002</v>
      </c>
      <c r="M181" s="5">
        <f>TEG_Syncronous_Pipeline_回路規模!$C$3-TEG_Syncronous_Pipeline_回路規模!$C$6</f>
        <v>20019</v>
      </c>
      <c r="N181">
        <f>$B$181*32*100</f>
        <v>32000</v>
      </c>
      <c r="O181" s="3">
        <f>TEG_Syncronous_Pipeline_回路規模!$D$12-TEG_Syncronous_Pipeline_回路規模!$D$15</f>
        <v>32000</v>
      </c>
    </row>
    <row r="182" spans="1:15" x14ac:dyDescent="0.4">
      <c r="A182" t="s">
        <v>43</v>
      </c>
      <c r="B182">
        <v>11</v>
      </c>
      <c r="C182" s="3">
        <f>TEG_Syncronous_Pipeline_回路規模!$C$3-TEG_Syncronous_Pipeline_回路規模!$C$7</f>
        <v>23196</v>
      </c>
      <c r="D182" s="3">
        <f t="shared" si="3"/>
        <v>2108.7272727272725</v>
      </c>
      <c r="E182">
        <f t="shared" si="5"/>
        <v>35200</v>
      </c>
      <c r="F182" s="3">
        <f t="shared" si="4"/>
        <v>-12004</v>
      </c>
      <c r="G182">
        <f>$C$131-$C$135</f>
        <v>0.26900000000000002</v>
      </c>
      <c r="K182" t="s">
        <v>43</v>
      </c>
      <c r="L182">
        <f>$C$131-$C$135</f>
        <v>0.26900000000000002</v>
      </c>
      <c r="M182" s="5">
        <f>TEG_Syncronous_Pipeline_回路規模!$C$3-TEG_Syncronous_Pipeline_回路規模!$C$7</f>
        <v>23196</v>
      </c>
      <c r="N182">
        <f>$B$182*32*100</f>
        <v>35200</v>
      </c>
      <c r="O182" s="3">
        <f>TEG_Syncronous_Pipeline_回路規模!$D$12-TEG_Syncronous_Pipeline_回路規模!$D$16</f>
        <v>35200</v>
      </c>
    </row>
    <row r="183" spans="1:15" x14ac:dyDescent="0.4">
      <c r="A183" t="s">
        <v>46</v>
      </c>
      <c r="B183">
        <v>4</v>
      </c>
      <c r="C183" s="3">
        <f>TEG_Syncronous_Pipeline_回路規模!$C$4-TEG_Syncronous_Pipeline_回路規模!$C$5</f>
        <v>9618</v>
      </c>
      <c r="D183" s="3">
        <f t="shared" si="3"/>
        <v>2404.5</v>
      </c>
      <c r="E183">
        <f t="shared" si="5"/>
        <v>12800</v>
      </c>
      <c r="F183" s="3">
        <f t="shared" si="4"/>
        <v>-3182</v>
      </c>
      <c r="G183">
        <f>$C$132-$C$133</f>
        <v>9.7999999999999976E-2</v>
      </c>
      <c r="K183" t="s">
        <v>46</v>
      </c>
      <c r="L183">
        <f>$C$132-$C$133</f>
        <v>9.7999999999999976E-2</v>
      </c>
      <c r="M183" s="5">
        <f>TEG_Syncronous_Pipeline_回路規模!$C$4-TEG_Syncronous_Pipeline_回路規模!$C$5</f>
        <v>9618</v>
      </c>
      <c r="N183">
        <f>$B$183*32*100</f>
        <v>12800</v>
      </c>
      <c r="O183" s="3">
        <f>TEG_Syncronous_Pipeline_回路規模!$D$13-TEG_Syncronous_Pipeline_回路規模!$D$14</f>
        <v>12800</v>
      </c>
    </row>
    <row r="184" spans="1:15" x14ac:dyDescent="0.4">
      <c r="A184" t="s">
        <v>47</v>
      </c>
      <c r="B184">
        <v>6</v>
      </c>
      <c r="C184" s="3">
        <f>TEG_Syncronous_Pipeline_回路規模!$C$4-TEG_Syncronous_Pipeline_回路規模!$C$6</f>
        <v>15752</v>
      </c>
      <c r="D184" s="3">
        <f t="shared" si="3"/>
        <v>2625.3333333333335</v>
      </c>
      <c r="E184">
        <f t="shared" si="5"/>
        <v>19200</v>
      </c>
      <c r="F184" s="3">
        <f t="shared" si="4"/>
        <v>-3448</v>
      </c>
      <c r="G184">
        <f>$C$132-$C$134</f>
        <v>0.14799999999999999</v>
      </c>
      <c r="K184" t="s">
        <v>47</v>
      </c>
      <c r="L184">
        <f>$C$132-$C$134</f>
        <v>0.14799999999999999</v>
      </c>
      <c r="M184" s="5">
        <f>TEG_Syncronous_Pipeline_回路規模!$C$4-TEG_Syncronous_Pipeline_回路規模!$C$6</f>
        <v>15752</v>
      </c>
      <c r="N184">
        <f>$B$184*32*100</f>
        <v>19200</v>
      </c>
      <c r="O184" s="3">
        <f>TEG_Syncronous_Pipeline_回路規模!$D$13-TEG_Syncronous_Pipeline_回路規模!$D$15</f>
        <v>19200</v>
      </c>
    </row>
    <row r="185" spans="1:15" x14ac:dyDescent="0.4">
      <c r="A185" t="s">
        <v>48</v>
      </c>
      <c r="B185">
        <v>7</v>
      </c>
      <c r="C185" s="3">
        <f>TEG_Syncronous_Pipeline_回路規模!$C$4-TEG_Syncronous_Pipeline_回路規模!$C$7</f>
        <v>18929</v>
      </c>
      <c r="D185" s="3">
        <f t="shared" si="3"/>
        <v>2704.1428571428573</v>
      </c>
      <c r="E185">
        <f t="shared" si="5"/>
        <v>22400</v>
      </c>
      <c r="F185" s="3">
        <f t="shared" si="4"/>
        <v>-3471</v>
      </c>
      <c r="G185">
        <f>$C$132-$C$135</f>
        <v>0.17099999999999999</v>
      </c>
      <c r="K185" t="s">
        <v>48</v>
      </c>
      <c r="L185">
        <f>$C$132-$C$135</f>
        <v>0.17099999999999999</v>
      </c>
      <c r="M185" s="5">
        <f>TEG_Syncronous_Pipeline_回路規模!$C$4-TEG_Syncronous_Pipeline_回路規模!$C$7</f>
        <v>18929</v>
      </c>
      <c r="N185">
        <f>$B$185*32*100</f>
        <v>22400</v>
      </c>
      <c r="O185" s="3">
        <f>TEG_Syncronous_Pipeline_回路規模!$D$13-TEG_Syncronous_Pipeline_回路規模!$D$16</f>
        <v>22400</v>
      </c>
    </row>
    <row r="186" spans="1:15" x14ac:dyDescent="0.4">
      <c r="A186" t="s">
        <v>49</v>
      </c>
      <c r="B186">
        <v>2</v>
      </c>
      <c r="C186" s="3">
        <f>TEG_Syncronous_Pipeline_回路規模!$C$5-TEG_Syncronous_Pipeline_回路規模!$C$6</f>
        <v>6134</v>
      </c>
      <c r="D186" s="3">
        <f t="shared" si="3"/>
        <v>3067</v>
      </c>
      <c r="E186">
        <f t="shared" si="5"/>
        <v>6400</v>
      </c>
      <c r="F186" s="3">
        <f t="shared" si="4"/>
        <v>-266</v>
      </c>
      <c r="G186">
        <f>$C$133-$C$134</f>
        <v>5.0000000000000017E-2</v>
      </c>
      <c r="K186" t="s">
        <v>49</v>
      </c>
      <c r="L186">
        <f>$C$133-$C$134</f>
        <v>5.0000000000000017E-2</v>
      </c>
      <c r="M186" s="5">
        <f>TEG_Syncronous_Pipeline_回路規模!$C$5-TEG_Syncronous_Pipeline_回路規模!$C$6</f>
        <v>6134</v>
      </c>
      <c r="N186">
        <f>$B$186*32*100</f>
        <v>6400</v>
      </c>
      <c r="O186" s="3">
        <f>TEG_Syncronous_Pipeline_回路規模!$D$14-TEG_Syncronous_Pipeline_回路規模!$D$15</f>
        <v>6400</v>
      </c>
    </row>
    <row r="187" spans="1:15" x14ac:dyDescent="0.4">
      <c r="A187" t="s">
        <v>50</v>
      </c>
      <c r="B187">
        <v>3</v>
      </c>
      <c r="C187" s="3">
        <f>TEG_Syncronous_Pipeline_回路規模!$C$5-TEG_Syncronous_Pipeline_回路規模!$C$7</f>
        <v>9311</v>
      </c>
      <c r="D187" s="3">
        <f t="shared" si="3"/>
        <v>3103.6666666666665</v>
      </c>
      <c r="E187">
        <f t="shared" si="5"/>
        <v>9600</v>
      </c>
      <c r="F187" s="3">
        <f t="shared" si="4"/>
        <v>-289</v>
      </c>
      <c r="G187">
        <f>$C$133-$C$135</f>
        <v>7.3000000000000009E-2</v>
      </c>
      <c r="K187" t="s">
        <v>50</v>
      </c>
      <c r="L187">
        <f>$C$133-$C$135</f>
        <v>7.3000000000000009E-2</v>
      </c>
      <c r="M187" s="5">
        <f>TEG_Syncronous_Pipeline_回路規模!$C$5-TEG_Syncronous_Pipeline_回路規模!$C$7</f>
        <v>9311</v>
      </c>
      <c r="N187">
        <f>$B$187*32*100</f>
        <v>9600</v>
      </c>
      <c r="O187" s="3">
        <f>TEG_Syncronous_Pipeline_回路規模!$D$14-TEG_Syncronous_Pipeline_回路規模!$D$16</f>
        <v>9600</v>
      </c>
    </row>
    <row r="188" spans="1:15" x14ac:dyDescent="0.4">
      <c r="A188" t="s">
        <v>51</v>
      </c>
      <c r="B188">
        <v>1</v>
      </c>
      <c r="C188" s="3">
        <f>TEG_Syncronous_Pipeline_回路規模!$C$6-TEG_Syncronous_Pipeline_回路規模!$C$7</f>
        <v>3177</v>
      </c>
      <c r="D188" s="3">
        <f t="shared" si="3"/>
        <v>3177</v>
      </c>
      <c r="E188">
        <f t="shared" si="5"/>
        <v>3200</v>
      </c>
      <c r="F188" s="3">
        <f t="shared" si="4"/>
        <v>-23</v>
      </c>
      <c r="G188">
        <f>$C$134-$C$135</f>
        <v>2.2999999999999993E-2</v>
      </c>
      <c r="K188" t="s">
        <v>51</v>
      </c>
      <c r="L188">
        <f>$C$134-$C$135</f>
        <v>2.2999999999999993E-2</v>
      </c>
      <c r="M188" s="5">
        <f>TEG_Syncronous_Pipeline_回路規模!$C$6-TEG_Syncronous_Pipeline_回路規模!$C$7</f>
        <v>3177</v>
      </c>
      <c r="N188">
        <f>$B$188*32*100</f>
        <v>3200</v>
      </c>
      <c r="O188" s="3">
        <f>TEG_Syncronous_Pipeline_回路規模!$D$15-TEG_Syncronous_Pipeline_回路規模!$D$16</f>
        <v>3200</v>
      </c>
    </row>
    <row r="222" spans="1:6" x14ac:dyDescent="0.4">
      <c r="A222" t="s">
        <v>120</v>
      </c>
    </row>
    <row r="223" spans="1:6" x14ac:dyDescent="0.4">
      <c r="B223" t="s">
        <v>121</v>
      </c>
      <c r="C223" t="s">
        <v>123</v>
      </c>
      <c r="D223" t="s">
        <v>122</v>
      </c>
      <c r="E223" t="s">
        <v>124</v>
      </c>
      <c r="F223" t="s">
        <v>125</v>
      </c>
    </row>
    <row r="224" spans="1:6" x14ac:dyDescent="0.4">
      <c r="B224" t="s">
        <v>0</v>
      </c>
      <c r="C224">
        <v>16</v>
      </c>
      <c r="D224" s="3">
        <f>TEG_Syncronous_Pipeline_回路規模!B2</f>
        <v>3351</v>
      </c>
      <c r="E224" s="3">
        <f>TEG_Syncronous_Pipeline_回路規模!C2</f>
        <v>30226</v>
      </c>
      <c r="F224">
        <f>C65</f>
        <v>1.8938225806451614</v>
      </c>
    </row>
    <row r="225" spans="2:6" x14ac:dyDescent="0.4">
      <c r="B225" t="s">
        <v>1</v>
      </c>
      <c r="C225">
        <v>12</v>
      </c>
      <c r="D225" s="3">
        <f>TEG_Syncronous_Pipeline_回路規模!B3</f>
        <v>3351</v>
      </c>
      <c r="E225" s="3">
        <f>TEG_Syncronous_Pipeline_回路規模!C3</f>
        <v>26451</v>
      </c>
      <c r="F225">
        <f>D65</f>
        <v>1.8137096774193544</v>
      </c>
    </row>
    <row r="226" spans="2:6" x14ac:dyDescent="0.4">
      <c r="B226" t="s">
        <v>2</v>
      </c>
      <c r="C226">
        <v>8</v>
      </c>
      <c r="D226" s="3">
        <f>TEG_Syncronous_Pipeline_回路規模!B4</f>
        <v>3351</v>
      </c>
      <c r="E226" s="3">
        <f>TEG_Syncronous_Pipeline_回路規模!C4</f>
        <v>22184</v>
      </c>
      <c r="F226">
        <f>E65</f>
        <v>1.7232741935483864</v>
      </c>
    </row>
    <row r="227" spans="2:6" x14ac:dyDescent="0.4">
      <c r="B227" t="s">
        <v>3</v>
      </c>
      <c r="C227">
        <v>4</v>
      </c>
      <c r="D227" s="3">
        <f>TEG_Syncronous_Pipeline_回路規模!B5</f>
        <v>3351</v>
      </c>
      <c r="E227" s="3">
        <f>TEG_Syncronous_Pipeline_回路規模!C5</f>
        <v>12566</v>
      </c>
      <c r="F227">
        <f>F65</f>
        <v>1.6362419354838709</v>
      </c>
    </row>
    <row r="228" spans="2:6" x14ac:dyDescent="0.4">
      <c r="B228" t="s">
        <v>4</v>
      </c>
      <c r="C228">
        <v>2</v>
      </c>
      <c r="D228" s="3">
        <f>TEG_Syncronous_Pipeline_回路規模!B6</f>
        <v>3351</v>
      </c>
      <c r="E228" s="3">
        <f>TEG_Syncronous_Pipeline_回路規模!C6</f>
        <v>6432</v>
      </c>
      <c r="F228">
        <f>G65</f>
        <v>1.5922096774193537</v>
      </c>
    </row>
    <row r="229" spans="2:6" x14ac:dyDescent="0.4">
      <c r="B229" t="s">
        <v>5</v>
      </c>
      <c r="C229">
        <v>1</v>
      </c>
      <c r="D229" s="3">
        <f>TEG_Syncronous_Pipeline_回路規模!B7</f>
        <v>3351</v>
      </c>
      <c r="E229" s="3">
        <f>TEG_Syncronous_Pipeline_回路規模!C7</f>
        <v>3255</v>
      </c>
      <c r="F229">
        <f>H65</f>
        <v>1.5545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80"/>
  <sheetViews>
    <sheetView topLeftCell="K1" zoomScaleNormal="100" workbookViewId="0">
      <selection activeCell="V64" sqref="V64"/>
    </sheetView>
  </sheetViews>
  <sheetFormatPr defaultRowHeight="18.75" x14ac:dyDescent="0.4"/>
  <cols>
    <col min="4" max="4" width="9.25" bestFit="1" customWidth="1"/>
  </cols>
  <sheetData>
    <row r="1" spans="1:25" x14ac:dyDescent="0.4">
      <c r="A1" t="s">
        <v>21</v>
      </c>
      <c r="B1" t="s">
        <v>64</v>
      </c>
      <c r="C1" t="s">
        <v>13</v>
      </c>
      <c r="D1" t="s">
        <v>14</v>
      </c>
      <c r="E1" t="s">
        <v>62</v>
      </c>
      <c r="F1" t="s">
        <v>63</v>
      </c>
      <c r="G1" t="s">
        <v>138</v>
      </c>
      <c r="H1" t="s">
        <v>65</v>
      </c>
      <c r="I1" t="s">
        <v>13</v>
      </c>
      <c r="J1" t="s">
        <v>14</v>
      </c>
      <c r="K1" t="s">
        <v>62</v>
      </c>
      <c r="L1" t="s">
        <v>63</v>
      </c>
      <c r="N1" t="s">
        <v>22</v>
      </c>
      <c r="O1" t="s">
        <v>64</v>
      </c>
      <c r="P1" t="s">
        <v>13</v>
      </c>
      <c r="Q1" t="s">
        <v>14</v>
      </c>
      <c r="R1" t="s">
        <v>62</v>
      </c>
      <c r="S1" t="s">
        <v>63</v>
      </c>
      <c r="T1" t="s">
        <v>137</v>
      </c>
      <c r="U1" t="s">
        <v>65</v>
      </c>
      <c r="V1" t="s">
        <v>13</v>
      </c>
      <c r="W1" t="s">
        <v>14</v>
      </c>
      <c r="X1" t="s">
        <v>62</v>
      </c>
      <c r="Y1" t="s">
        <v>63</v>
      </c>
    </row>
    <row r="2" spans="1:25" x14ac:dyDescent="0.4">
      <c r="B2">
        <v>0</v>
      </c>
      <c r="C2">
        <v>1.8959999999999999</v>
      </c>
      <c r="D2">
        <v>1.855</v>
      </c>
      <c r="E2">
        <v>1.7689999999999999</v>
      </c>
      <c r="F2">
        <v>1.702</v>
      </c>
      <c r="G2">
        <v>1.633</v>
      </c>
      <c r="H2">
        <v>0</v>
      </c>
      <c r="I2">
        <v>1.5369999999999999</v>
      </c>
      <c r="J2">
        <v>1.5469999999999999</v>
      </c>
      <c r="K2">
        <v>1.532</v>
      </c>
      <c r="L2">
        <v>1.5369999999999999</v>
      </c>
      <c r="O2">
        <v>0</v>
      </c>
      <c r="P2">
        <v>2.3290000000000002</v>
      </c>
      <c r="Q2">
        <v>2.2269999999999999</v>
      </c>
      <c r="R2">
        <v>2.0939999999999999</v>
      </c>
      <c r="S2">
        <v>2.0680000000000001</v>
      </c>
      <c r="T2">
        <v>1.8080000000000001</v>
      </c>
      <c r="U2">
        <v>0</v>
      </c>
      <c r="V2">
        <v>1.6259999999999999</v>
      </c>
      <c r="W2">
        <v>1.627</v>
      </c>
      <c r="X2">
        <v>1.62</v>
      </c>
      <c r="Y2">
        <v>1.6559999999999999</v>
      </c>
    </row>
    <row r="3" spans="1:25" x14ac:dyDescent="0.4">
      <c r="B3">
        <v>0</v>
      </c>
      <c r="C3">
        <v>1.8959999999999999</v>
      </c>
      <c r="D3">
        <v>1.859</v>
      </c>
      <c r="E3">
        <v>1.7689999999999999</v>
      </c>
      <c r="F3">
        <v>1.6990000000000001</v>
      </c>
      <c r="G3">
        <v>1.64</v>
      </c>
      <c r="H3">
        <v>0</v>
      </c>
      <c r="I3">
        <v>1.534</v>
      </c>
      <c r="J3">
        <v>1.5469999999999999</v>
      </c>
      <c r="K3">
        <v>1.532</v>
      </c>
      <c r="L3">
        <v>1.526</v>
      </c>
      <c r="O3">
        <v>0</v>
      </c>
      <c r="P3">
        <v>2.323</v>
      </c>
      <c r="Q3">
        <v>2.2229999999999999</v>
      </c>
      <c r="R3">
        <v>2.081</v>
      </c>
      <c r="S3">
        <v>2.0680000000000001</v>
      </c>
      <c r="T3">
        <v>1.8049999999999999</v>
      </c>
      <c r="U3">
        <v>0</v>
      </c>
      <c r="V3">
        <v>1.6259999999999999</v>
      </c>
      <c r="W3">
        <v>1.62</v>
      </c>
      <c r="X3">
        <v>1.62</v>
      </c>
      <c r="Y3">
        <v>1.6659999999999999</v>
      </c>
    </row>
    <row r="4" spans="1:25" x14ac:dyDescent="0.4">
      <c r="B4">
        <v>1</v>
      </c>
      <c r="C4">
        <v>1.8859999999999999</v>
      </c>
      <c r="D4">
        <v>1.849</v>
      </c>
      <c r="E4">
        <v>1.766</v>
      </c>
      <c r="F4">
        <v>1.702</v>
      </c>
      <c r="G4">
        <v>1.63</v>
      </c>
      <c r="H4">
        <v>1</v>
      </c>
      <c r="I4">
        <v>1.54</v>
      </c>
      <c r="J4">
        <v>1.5469999999999999</v>
      </c>
      <c r="K4">
        <v>1.542</v>
      </c>
      <c r="L4">
        <v>1.526</v>
      </c>
      <c r="O4">
        <v>1</v>
      </c>
      <c r="P4">
        <v>2.3330000000000002</v>
      </c>
      <c r="Q4">
        <v>2.2229999999999999</v>
      </c>
      <c r="R4">
        <v>2.0840000000000001</v>
      </c>
      <c r="S4">
        <v>2.0640000000000001</v>
      </c>
      <c r="T4">
        <v>1.798</v>
      </c>
      <c r="U4">
        <v>1</v>
      </c>
      <c r="V4">
        <v>1.6259999999999999</v>
      </c>
      <c r="W4">
        <v>1.62</v>
      </c>
      <c r="X4">
        <v>1.62</v>
      </c>
      <c r="Y4">
        <v>1.6659999999999999</v>
      </c>
    </row>
    <row r="5" spans="1:25" x14ac:dyDescent="0.4">
      <c r="B5">
        <v>1</v>
      </c>
      <c r="C5">
        <v>1.8859999999999999</v>
      </c>
      <c r="D5">
        <v>1.855</v>
      </c>
      <c r="E5">
        <v>1.776</v>
      </c>
      <c r="F5">
        <v>1.702</v>
      </c>
      <c r="G5">
        <v>1.63</v>
      </c>
      <c r="H5">
        <v>1</v>
      </c>
      <c r="I5">
        <v>1.54</v>
      </c>
      <c r="J5">
        <v>1.5469999999999999</v>
      </c>
      <c r="K5">
        <v>1.542</v>
      </c>
      <c r="L5">
        <v>1.526</v>
      </c>
      <c r="O5">
        <v>1</v>
      </c>
      <c r="P5">
        <v>2.3330000000000002</v>
      </c>
      <c r="Q5">
        <v>2.2269999999999999</v>
      </c>
      <c r="R5">
        <v>2.081</v>
      </c>
      <c r="S5">
        <v>2.0640000000000001</v>
      </c>
      <c r="T5">
        <v>1.798</v>
      </c>
      <c r="U5">
        <v>1</v>
      </c>
      <c r="V5">
        <v>1.6259999999999999</v>
      </c>
      <c r="W5">
        <v>1.625</v>
      </c>
      <c r="X5">
        <v>1.623</v>
      </c>
      <c r="Y5">
        <v>1.6659999999999999</v>
      </c>
    </row>
    <row r="6" spans="1:25" x14ac:dyDescent="0.4">
      <c r="B6">
        <v>2</v>
      </c>
      <c r="C6">
        <v>1.8859999999999999</v>
      </c>
      <c r="D6">
        <v>1.845</v>
      </c>
      <c r="E6">
        <v>1.78</v>
      </c>
      <c r="F6">
        <v>1.702</v>
      </c>
      <c r="G6">
        <v>1.63</v>
      </c>
      <c r="H6">
        <v>2</v>
      </c>
      <c r="I6">
        <v>1.5269999999999999</v>
      </c>
      <c r="J6">
        <v>1.55</v>
      </c>
      <c r="K6">
        <v>1.542</v>
      </c>
      <c r="L6">
        <v>1.526</v>
      </c>
      <c r="O6">
        <v>2</v>
      </c>
      <c r="P6">
        <v>2.323</v>
      </c>
      <c r="Q6">
        <v>2.2269999999999999</v>
      </c>
      <c r="R6">
        <v>2.081</v>
      </c>
      <c r="S6">
        <v>2.0640000000000001</v>
      </c>
      <c r="T6">
        <v>1.8080000000000001</v>
      </c>
      <c r="U6">
        <v>2</v>
      </c>
      <c r="V6">
        <v>1.623</v>
      </c>
      <c r="W6">
        <v>1.6379999999999999</v>
      </c>
      <c r="X6">
        <v>1.623</v>
      </c>
      <c r="Y6">
        <v>1.659</v>
      </c>
    </row>
    <row r="7" spans="1:25" x14ac:dyDescent="0.4">
      <c r="B7">
        <v>2</v>
      </c>
      <c r="C7">
        <v>1.8859999999999999</v>
      </c>
      <c r="D7">
        <v>1.845</v>
      </c>
      <c r="E7">
        <v>1.766</v>
      </c>
      <c r="F7">
        <v>1.6990000000000001</v>
      </c>
      <c r="G7">
        <v>1.64</v>
      </c>
      <c r="H7">
        <v>2</v>
      </c>
      <c r="I7">
        <v>1.5369999999999999</v>
      </c>
      <c r="J7">
        <v>1.54</v>
      </c>
      <c r="K7">
        <v>1.542</v>
      </c>
      <c r="L7">
        <v>1.526</v>
      </c>
      <c r="O7">
        <v>2</v>
      </c>
      <c r="P7">
        <v>2.343</v>
      </c>
      <c r="Q7">
        <v>2.2269999999999999</v>
      </c>
      <c r="R7">
        <v>2.0910000000000002</v>
      </c>
      <c r="S7">
        <v>2.0680000000000001</v>
      </c>
      <c r="T7">
        <v>1.8080000000000001</v>
      </c>
      <c r="U7">
        <v>2</v>
      </c>
      <c r="V7">
        <v>1.623</v>
      </c>
      <c r="W7">
        <v>1.62</v>
      </c>
      <c r="X7">
        <v>1.613</v>
      </c>
      <c r="Y7">
        <v>1.6659999999999999</v>
      </c>
    </row>
    <row r="8" spans="1:25" x14ac:dyDescent="0.4">
      <c r="B8">
        <v>3</v>
      </c>
      <c r="C8">
        <v>1.8819999999999999</v>
      </c>
      <c r="D8">
        <v>1.849</v>
      </c>
      <c r="E8">
        <v>1.7689999999999999</v>
      </c>
      <c r="F8">
        <v>1.6990000000000001</v>
      </c>
      <c r="G8">
        <v>1.63</v>
      </c>
      <c r="H8">
        <v>3</v>
      </c>
      <c r="I8">
        <v>1.5269999999999999</v>
      </c>
      <c r="J8">
        <v>1.54</v>
      </c>
      <c r="K8">
        <v>1.532</v>
      </c>
      <c r="L8">
        <v>1.544</v>
      </c>
      <c r="O8">
        <v>3</v>
      </c>
      <c r="P8">
        <v>2.323</v>
      </c>
      <c r="Q8">
        <v>2.2229999999999999</v>
      </c>
      <c r="R8">
        <v>2.0840000000000001</v>
      </c>
      <c r="S8">
        <v>2.0640000000000001</v>
      </c>
      <c r="T8">
        <v>1.8080000000000001</v>
      </c>
      <c r="U8">
        <v>3</v>
      </c>
      <c r="V8">
        <v>1.623</v>
      </c>
      <c r="W8">
        <v>1.627</v>
      </c>
      <c r="X8">
        <v>1.62</v>
      </c>
      <c r="Y8">
        <v>1.6659999999999999</v>
      </c>
    </row>
    <row r="9" spans="1:25" x14ac:dyDescent="0.4">
      <c r="B9">
        <v>3</v>
      </c>
      <c r="C9">
        <v>1.8819999999999999</v>
      </c>
      <c r="D9">
        <v>1.869</v>
      </c>
      <c r="E9">
        <v>1.766</v>
      </c>
      <c r="F9">
        <v>1.702</v>
      </c>
      <c r="G9">
        <v>1.63</v>
      </c>
      <c r="H9">
        <v>3</v>
      </c>
      <c r="I9">
        <v>1.5269999999999999</v>
      </c>
      <c r="J9">
        <v>1.54</v>
      </c>
      <c r="K9">
        <v>1.5289999999999999</v>
      </c>
      <c r="L9">
        <v>1.544</v>
      </c>
      <c r="O9">
        <v>3</v>
      </c>
      <c r="P9">
        <v>2.323</v>
      </c>
      <c r="Q9">
        <v>2.2269999999999999</v>
      </c>
      <c r="R9">
        <v>2.0840000000000001</v>
      </c>
      <c r="S9">
        <v>2.0579999999999998</v>
      </c>
      <c r="T9">
        <v>1.8080000000000001</v>
      </c>
      <c r="U9">
        <v>3</v>
      </c>
      <c r="V9">
        <v>1.621</v>
      </c>
      <c r="W9">
        <v>1.63</v>
      </c>
      <c r="X9">
        <v>1.613</v>
      </c>
      <c r="Y9">
        <v>1.6559999999999999</v>
      </c>
    </row>
    <row r="10" spans="1:25" x14ac:dyDescent="0.4">
      <c r="B10">
        <v>4</v>
      </c>
      <c r="C10">
        <v>1.8859999999999999</v>
      </c>
      <c r="D10">
        <v>1.835</v>
      </c>
      <c r="E10">
        <v>1.766</v>
      </c>
      <c r="F10">
        <v>1.6990000000000001</v>
      </c>
      <c r="G10">
        <v>1.64</v>
      </c>
      <c r="H10">
        <v>4</v>
      </c>
      <c r="I10">
        <v>1.5269999999999999</v>
      </c>
      <c r="J10">
        <v>1.5289999999999999</v>
      </c>
      <c r="K10">
        <v>1.5389999999999999</v>
      </c>
      <c r="L10">
        <v>1.534</v>
      </c>
      <c r="O10">
        <v>4</v>
      </c>
      <c r="P10">
        <v>2.3330000000000002</v>
      </c>
      <c r="Q10">
        <v>2.2229999999999999</v>
      </c>
      <c r="R10">
        <v>2.0939999999999999</v>
      </c>
      <c r="S10">
        <v>2.0579999999999998</v>
      </c>
      <c r="T10">
        <v>1.8080000000000001</v>
      </c>
      <c r="U10">
        <v>4</v>
      </c>
      <c r="V10">
        <v>1.6359999999999999</v>
      </c>
      <c r="W10">
        <v>1.62</v>
      </c>
      <c r="X10">
        <v>1.623</v>
      </c>
      <c r="Y10">
        <v>1.6559999999999999</v>
      </c>
    </row>
    <row r="11" spans="1:25" x14ac:dyDescent="0.4">
      <c r="B11">
        <v>4</v>
      </c>
      <c r="C11">
        <v>1.893</v>
      </c>
      <c r="D11">
        <v>1.8380000000000001</v>
      </c>
      <c r="E11">
        <v>1.776</v>
      </c>
      <c r="F11">
        <v>1.6990000000000001</v>
      </c>
      <c r="G11">
        <v>1.64</v>
      </c>
      <c r="H11">
        <v>4</v>
      </c>
      <c r="I11">
        <v>1.5369999999999999</v>
      </c>
      <c r="J11">
        <v>1.5289999999999999</v>
      </c>
      <c r="K11">
        <v>1.5389999999999999</v>
      </c>
      <c r="L11">
        <v>1.5369999999999999</v>
      </c>
      <c r="O11">
        <v>4</v>
      </c>
      <c r="P11">
        <v>2.3330000000000002</v>
      </c>
      <c r="Q11">
        <v>2.2200000000000002</v>
      </c>
      <c r="R11">
        <v>2.0840000000000001</v>
      </c>
      <c r="S11">
        <v>2.0680000000000001</v>
      </c>
      <c r="T11">
        <v>1.798</v>
      </c>
      <c r="U11">
        <v>4</v>
      </c>
      <c r="V11">
        <v>1.6259999999999999</v>
      </c>
      <c r="W11">
        <v>1.62</v>
      </c>
      <c r="X11">
        <v>1.613</v>
      </c>
      <c r="Y11">
        <v>1.6559999999999999</v>
      </c>
    </row>
    <row r="12" spans="1:25" x14ac:dyDescent="0.4">
      <c r="B12">
        <v>5</v>
      </c>
      <c r="C12">
        <v>1.8859999999999999</v>
      </c>
      <c r="D12">
        <v>1.855</v>
      </c>
      <c r="E12">
        <v>1.776</v>
      </c>
      <c r="F12">
        <v>1.6990000000000001</v>
      </c>
      <c r="G12">
        <v>1.64</v>
      </c>
      <c r="H12">
        <v>5</v>
      </c>
      <c r="I12">
        <v>1.5369999999999999</v>
      </c>
      <c r="J12">
        <v>1.54</v>
      </c>
      <c r="K12">
        <v>1.5289999999999999</v>
      </c>
      <c r="L12">
        <v>1.544</v>
      </c>
      <c r="O12">
        <v>5</v>
      </c>
      <c r="P12">
        <v>2.3330000000000002</v>
      </c>
      <c r="Q12">
        <v>2.2170000000000001</v>
      </c>
      <c r="R12">
        <v>2.081</v>
      </c>
      <c r="S12">
        <v>2.0510000000000002</v>
      </c>
      <c r="T12">
        <v>1.8009999999999999</v>
      </c>
      <c r="U12">
        <v>5</v>
      </c>
      <c r="V12">
        <v>1.6160000000000001</v>
      </c>
      <c r="W12">
        <v>1.627</v>
      </c>
      <c r="X12">
        <v>1.613</v>
      </c>
      <c r="Y12">
        <v>1.6759999999999999</v>
      </c>
    </row>
    <row r="13" spans="1:25" x14ac:dyDescent="0.4">
      <c r="B13">
        <v>5</v>
      </c>
      <c r="C13">
        <v>1.8819999999999999</v>
      </c>
      <c r="D13">
        <v>1.835</v>
      </c>
      <c r="E13">
        <v>1.776</v>
      </c>
      <c r="F13">
        <v>1.7090000000000001</v>
      </c>
      <c r="G13">
        <v>1.64</v>
      </c>
      <c r="H13">
        <v>5</v>
      </c>
      <c r="I13">
        <v>1.54</v>
      </c>
      <c r="J13">
        <v>1.5289999999999999</v>
      </c>
      <c r="K13">
        <v>1.532</v>
      </c>
      <c r="L13">
        <v>1.532</v>
      </c>
      <c r="O13">
        <v>5</v>
      </c>
      <c r="P13">
        <v>2.3330000000000002</v>
      </c>
      <c r="Q13">
        <v>2.2170000000000001</v>
      </c>
      <c r="R13">
        <v>2.081</v>
      </c>
      <c r="S13">
        <v>2.0539999999999998</v>
      </c>
      <c r="T13">
        <v>1.8009999999999999</v>
      </c>
      <c r="U13">
        <v>5</v>
      </c>
      <c r="V13">
        <v>1.6160000000000001</v>
      </c>
      <c r="W13">
        <v>1.627</v>
      </c>
      <c r="X13">
        <v>1.623</v>
      </c>
      <c r="Y13">
        <v>1.6559999999999999</v>
      </c>
    </row>
    <row r="14" spans="1:25" x14ac:dyDescent="0.4">
      <c r="B14">
        <v>6</v>
      </c>
      <c r="C14">
        <v>1.8720000000000001</v>
      </c>
      <c r="D14">
        <v>1.835</v>
      </c>
      <c r="E14">
        <v>1.7689999999999999</v>
      </c>
      <c r="F14">
        <v>1.712</v>
      </c>
      <c r="G14">
        <v>1.64</v>
      </c>
      <c r="H14">
        <v>6</v>
      </c>
      <c r="I14">
        <v>1.54</v>
      </c>
      <c r="J14">
        <v>1.5289999999999999</v>
      </c>
      <c r="K14">
        <v>1.5289999999999999</v>
      </c>
      <c r="L14">
        <v>1.532</v>
      </c>
      <c r="O14">
        <v>6</v>
      </c>
      <c r="P14">
        <v>2.319</v>
      </c>
      <c r="Q14">
        <v>2.2170000000000001</v>
      </c>
      <c r="R14">
        <v>2.081</v>
      </c>
      <c r="S14">
        <v>2.0539999999999998</v>
      </c>
      <c r="T14">
        <v>1.8080000000000001</v>
      </c>
      <c r="U14">
        <v>6</v>
      </c>
      <c r="V14">
        <v>1.6259999999999999</v>
      </c>
      <c r="W14">
        <v>1.62</v>
      </c>
      <c r="X14">
        <v>1.623</v>
      </c>
      <c r="Y14">
        <v>1.6659999999999999</v>
      </c>
    </row>
    <row r="15" spans="1:25" x14ac:dyDescent="0.4">
      <c r="B15">
        <v>6</v>
      </c>
      <c r="C15">
        <v>1.8720000000000001</v>
      </c>
      <c r="D15">
        <v>1.855</v>
      </c>
      <c r="E15">
        <v>1.764</v>
      </c>
      <c r="F15">
        <v>1.702</v>
      </c>
      <c r="G15">
        <v>1.64</v>
      </c>
      <c r="H15">
        <v>6</v>
      </c>
      <c r="I15">
        <v>1.55</v>
      </c>
      <c r="J15">
        <v>1.5289999999999999</v>
      </c>
      <c r="K15">
        <v>1.532</v>
      </c>
      <c r="L15">
        <v>1.532</v>
      </c>
      <c r="O15">
        <v>6</v>
      </c>
      <c r="P15">
        <v>2.3330000000000002</v>
      </c>
      <c r="Q15">
        <v>2.2229999999999999</v>
      </c>
      <c r="R15">
        <v>2.081</v>
      </c>
      <c r="S15">
        <v>2.0680000000000001</v>
      </c>
      <c r="T15">
        <v>1.8080000000000001</v>
      </c>
      <c r="U15">
        <v>6</v>
      </c>
      <c r="V15">
        <v>1.633</v>
      </c>
      <c r="W15">
        <v>1.62</v>
      </c>
      <c r="X15">
        <v>1.623</v>
      </c>
      <c r="Y15">
        <v>1.669</v>
      </c>
    </row>
    <row r="16" spans="1:25" x14ac:dyDescent="0.4">
      <c r="B16">
        <v>7</v>
      </c>
      <c r="C16">
        <v>1.8819999999999999</v>
      </c>
      <c r="D16">
        <v>1.845</v>
      </c>
      <c r="E16">
        <v>1.766</v>
      </c>
      <c r="F16">
        <v>1.7090000000000001</v>
      </c>
      <c r="G16">
        <v>1.64</v>
      </c>
      <c r="H16">
        <v>7</v>
      </c>
      <c r="I16">
        <v>1.5369999999999999</v>
      </c>
      <c r="J16">
        <v>1.5369999999999999</v>
      </c>
      <c r="K16">
        <v>1.542</v>
      </c>
      <c r="L16">
        <v>1.532</v>
      </c>
      <c r="O16">
        <v>7</v>
      </c>
      <c r="P16">
        <v>2.3330000000000002</v>
      </c>
      <c r="Q16">
        <v>2.2229999999999999</v>
      </c>
      <c r="R16">
        <v>2.0910000000000002</v>
      </c>
      <c r="S16">
        <v>2.0640000000000001</v>
      </c>
      <c r="T16">
        <v>1.7949999999999999</v>
      </c>
      <c r="U16">
        <v>7</v>
      </c>
      <c r="V16">
        <v>1.6259999999999999</v>
      </c>
      <c r="W16">
        <v>1.63</v>
      </c>
      <c r="X16">
        <v>1.6359999999999999</v>
      </c>
      <c r="Y16">
        <v>1.6559999999999999</v>
      </c>
    </row>
    <row r="17" spans="2:25" x14ac:dyDescent="0.4">
      <c r="B17">
        <v>7</v>
      </c>
      <c r="C17">
        <v>1.8959999999999999</v>
      </c>
      <c r="D17">
        <v>1.845</v>
      </c>
      <c r="E17">
        <v>1.7689999999999999</v>
      </c>
      <c r="F17">
        <v>1.702</v>
      </c>
      <c r="G17">
        <v>1.64</v>
      </c>
      <c r="H17">
        <v>7</v>
      </c>
      <c r="I17">
        <v>1.5269999999999999</v>
      </c>
      <c r="J17">
        <v>1.54</v>
      </c>
      <c r="K17">
        <v>1.542</v>
      </c>
      <c r="L17">
        <v>1.5369999999999999</v>
      </c>
      <c r="O17">
        <v>7</v>
      </c>
      <c r="P17">
        <v>2.3290000000000002</v>
      </c>
      <c r="Q17">
        <v>2.2269999999999999</v>
      </c>
      <c r="R17">
        <v>2.081</v>
      </c>
      <c r="S17">
        <v>2.0640000000000001</v>
      </c>
      <c r="T17">
        <v>1.7949999999999999</v>
      </c>
      <c r="U17">
        <v>7</v>
      </c>
      <c r="V17">
        <v>1.623</v>
      </c>
      <c r="W17">
        <v>1.617</v>
      </c>
      <c r="X17">
        <v>1.623</v>
      </c>
      <c r="Y17">
        <v>1.659</v>
      </c>
    </row>
    <row r="18" spans="2:25" x14ac:dyDescent="0.4">
      <c r="B18">
        <v>8</v>
      </c>
      <c r="C18">
        <v>1.8819999999999999</v>
      </c>
      <c r="D18">
        <v>1.845</v>
      </c>
      <c r="E18">
        <v>1.7689999999999999</v>
      </c>
      <c r="F18">
        <v>1.702</v>
      </c>
      <c r="G18">
        <v>1.63</v>
      </c>
      <c r="H18">
        <v>8</v>
      </c>
      <c r="I18">
        <v>1.5269999999999999</v>
      </c>
      <c r="J18">
        <v>1.54</v>
      </c>
      <c r="K18">
        <v>1.5289999999999999</v>
      </c>
      <c r="L18">
        <v>1.532</v>
      </c>
      <c r="O18">
        <v>8</v>
      </c>
      <c r="P18">
        <v>2.323</v>
      </c>
      <c r="Q18">
        <v>2.2269999999999999</v>
      </c>
      <c r="R18">
        <v>2.0870000000000002</v>
      </c>
      <c r="S18">
        <v>2.0640000000000001</v>
      </c>
      <c r="T18">
        <v>1.798</v>
      </c>
      <c r="U18">
        <v>8</v>
      </c>
      <c r="V18">
        <v>1.623</v>
      </c>
      <c r="W18">
        <v>1.617</v>
      </c>
      <c r="X18">
        <v>1.623</v>
      </c>
      <c r="Y18">
        <v>1.659</v>
      </c>
    </row>
    <row r="19" spans="2:25" x14ac:dyDescent="0.4">
      <c r="B19">
        <v>8</v>
      </c>
      <c r="C19">
        <v>1.8959999999999999</v>
      </c>
      <c r="D19">
        <v>1.849</v>
      </c>
      <c r="E19">
        <v>1.7689999999999999</v>
      </c>
      <c r="F19">
        <v>1.6990000000000001</v>
      </c>
      <c r="G19">
        <v>1.63</v>
      </c>
      <c r="H19">
        <v>8</v>
      </c>
      <c r="I19">
        <v>1.5369999999999999</v>
      </c>
      <c r="J19">
        <v>1.5228999999999999</v>
      </c>
      <c r="K19">
        <v>1.5289999999999999</v>
      </c>
      <c r="L19">
        <v>1.5369999999999999</v>
      </c>
      <c r="O19">
        <v>8</v>
      </c>
      <c r="P19">
        <v>2.3290000000000002</v>
      </c>
      <c r="Q19">
        <v>2.2269999999999999</v>
      </c>
      <c r="R19">
        <v>2.0870000000000002</v>
      </c>
      <c r="S19">
        <v>2.0609999999999999</v>
      </c>
      <c r="T19">
        <v>1.798</v>
      </c>
      <c r="U19">
        <v>8</v>
      </c>
      <c r="V19">
        <v>1.6160000000000001</v>
      </c>
      <c r="W19">
        <v>1.62</v>
      </c>
      <c r="X19">
        <v>1.623</v>
      </c>
      <c r="Y19">
        <v>1.6659999999999999</v>
      </c>
    </row>
    <row r="20" spans="2:25" x14ac:dyDescent="0.4">
      <c r="B20">
        <v>9</v>
      </c>
      <c r="C20">
        <v>1.8819999999999999</v>
      </c>
      <c r="D20">
        <v>1.849</v>
      </c>
      <c r="E20">
        <v>1.7689999999999999</v>
      </c>
      <c r="F20">
        <v>1.7090000000000001</v>
      </c>
      <c r="G20">
        <v>1.643</v>
      </c>
      <c r="H20">
        <v>9</v>
      </c>
      <c r="I20">
        <v>1.5269999999999999</v>
      </c>
      <c r="J20">
        <v>1.5289999999999999</v>
      </c>
      <c r="K20">
        <v>1.532</v>
      </c>
      <c r="L20">
        <v>1.5369999999999999</v>
      </c>
      <c r="O20">
        <v>9</v>
      </c>
      <c r="P20">
        <v>2.319</v>
      </c>
      <c r="Q20">
        <v>2.2330000000000001</v>
      </c>
      <c r="R20">
        <v>2.0910000000000002</v>
      </c>
      <c r="S20">
        <v>2.0640000000000001</v>
      </c>
      <c r="T20">
        <v>1.8080000000000001</v>
      </c>
      <c r="U20">
        <v>9</v>
      </c>
      <c r="V20">
        <v>1.6259999999999999</v>
      </c>
      <c r="W20">
        <v>1.617</v>
      </c>
      <c r="X20">
        <v>1.623</v>
      </c>
      <c r="Y20">
        <v>1.669</v>
      </c>
    </row>
    <row r="21" spans="2:25" x14ac:dyDescent="0.4">
      <c r="B21">
        <v>9</v>
      </c>
      <c r="C21">
        <v>1.8819999999999999</v>
      </c>
      <c r="D21">
        <v>1.849</v>
      </c>
      <c r="E21">
        <v>1.756</v>
      </c>
      <c r="F21">
        <v>1.7090000000000001</v>
      </c>
      <c r="G21">
        <v>1.63</v>
      </c>
      <c r="H21">
        <v>9</v>
      </c>
      <c r="I21">
        <v>1.5269999999999999</v>
      </c>
      <c r="J21">
        <v>1.5269999999999999</v>
      </c>
      <c r="K21">
        <v>1.5389999999999999</v>
      </c>
      <c r="L21">
        <v>1.5369999999999999</v>
      </c>
      <c r="O21">
        <v>9</v>
      </c>
      <c r="P21">
        <v>2.3330000000000002</v>
      </c>
      <c r="Q21">
        <v>2.2269999999999999</v>
      </c>
      <c r="R21">
        <v>2.081</v>
      </c>
      <c r="S21">
        <v>2.0680000000000001</v>
      </c>
      <c r="T21">
        <v>1.8080000000000001</v>
      </c>
      <c r="U21">
        <v>9</v>
      </c>
      <c r="V21">
        <v>1.623</v>
      </c>
      <c r="W21">
        <v>1.62</v>
      </c>
      <c r="X21">
        <v>1.623</v>
      </c>
      <c r="Y21">
        <v>1.669</v>
      </c>
    </row>
    <row r="22" spans="2:25" x14ac:dyDescent="0.4">
      <c r="B22">
        <v>10</v>
      </c>
      <c r="C22">
        <v>1.8819999999999999</v>
      </c>
      <c r="D22">
        <v>1.855</v>
      </c>
      <c r="E22">
        <v>1.756</v>
      </c>
      <c r="F22">
        <v>1.7090000000000001</v>
      </c>
      <c r="G22">
        <v>1.63</v>
      </c>
      <c r="H22">
        <v>10</v>
      </c>
      <c r="I22">
        <v>1.5369999999999999</v>
      </c>
      <c r="J22">
        <v>1.56</v>
      </c>
      <c r="K22">
        <v>1.532</v>
      </c>
      <c r="L22">
        <v>1.5369999999999999</v>
      </c>
      <c r="O22">
        <v>10</v>
      </c>
      <c r="P22">
        <v>2.3330000000000002</v>
      </c>
      <c r="Q22">
        <v>2.2269999999999999</v>
      </c>
      <c r="R22">
        <v>2.081</v>
      </c>
      <c r="S22">
        <v>2.0680000000000001</v>
      </c>
      <c r="T22">
        <v>1.798</v>
      </c>
      <c r="U22">
        <v>10</v>
      </c>
      <c r="V22">
        <v>1.623</v>
      </c>
      <c r="W22">
        <v>1.62</v>
      </c>
      <c r="X22">
        <v>1.623</v>
      </c>
      <c r="Y22">
        <v>1.669</v>
      </c>
    </row>
    <row r="23" spans="2:25" x14ac:dyDescent="0.4">
      <c r="B23">
        <v>10</v>
      </c>
      <c r="C23">
        <v>1.8959999999999999</v>
      </c>
      <c r="D23">
        <v>1.845</v>
      </c>
      <c r="E23">
        <v>1.7689999999999999</v>
      </c>
      <c r="F23">
        <v>1.712</v>
      </c>
      <c r="G23">
        <v>1.64</v>
      </c>
      <c r="H23">
        <v>10</v>
      </c>
      <c r="I23">
        <v>1.5269999999999999</v>
      </c>
      <c r="J23">
        <v>1.55</v>
      </c>
      <c r="K23">
        <v>1.532</v>
      </c>
      <c r="L23">
        <v>1.5469999999999999</v>
      </c>
      <c r="O23">
        <v>10</v>
      </c>
      <c r="P23">
        <v>2.3330000000000002</v>
      </c>
      <c r="Q23">
        <v>2.2370000000000001</v>
      </c>
      <c r="R23">
        <v>2.101</v>
      </c>
      <c r="S23">
        <v>2.0640000000000001</v>
      </c>
      <c r="T23">
        <v>1.798</v>
      </c>
      <c r="U23">
        <v>10</v>
      </c>
      <c r="V23">
        <v>1.6259999999999999</v>
      </c>
      <c r="W23">
        <v>1.627</v>
      </c>
      <c r="X23">
        <v>1.62</v>
      </c>
      <c r="Y23">
        <v>1.6659999999999999</v>
      </c>
    </row>
    <row r="24" spans="2:25" x14ac:dyDescent="0.4">
      <c r="B24">
        <v>11</v>
      </c>
      <c r="C24">
        <v>1.8959999999999999</v>
      </c>
      <c r="D24">
        <v>1.849</v>
      </c>
      <c r="E24">
        <v>1.764</v>
      </c>
      <c r="F24">
        <v>1.712</v>
      </c>
      <c r="G24">
        <v>1.643</v>
      </c>
      <c r="H24">
        <v>11</v>
      </c>
      <c r="I24">
        <v>1.5469999999999999</v>
      </c>
      <c r="J24">
        <v>1.54</v>
      </c>
      <c r="K24">
        <v>1.532</v>
      </c>
      <c r="L24">
        <v>1.5369999999999999</v>
      </c>
      <c r="O24">
        <v>11</v>
      </c>
      <c r="P24">
        <v>2.3370000000000002</v>
      </c>
      <c r="Q24">
        <v>2.2229999999999999</v>
      </c>
      <c r="R24">
        <v>2.0939999999999999</v>
      </c>
      <c r="S24">
        <v>2.0640000000000001</v>
      </c>
      <c r="T24">
        <v>1.798</v>
      </c>
      <c r="U24">
        <v>11</v>
      </c>
      <c r="V24">
        <v>1.6259999999999999</v>
      </c>
      <c r="W24">
        <v>1.62</v>
      </c>
      <c r="X24">
        <v>1.623</v>
      </c>
      <c r="Y24">
        <v>1.6659999999999999</v>
      </c>
    </row>
    <row r="25" spans="2:25" x14ac:dyDescent="0.4">
      <c r="B25">
        <v>11</v>
      </c>
      <c r="C25">
        <v>1.8819999999999999</v>
      </c>
      <c r="D25">
        <v>1.855</v>
      </c>
      <c r="E25">
        <v>1.766</v>
      </c>
      <c r="F25">
        <v>1.7090000000000001</v>
      </c>
      <c r="G25">
        <v>1.633</v>
      </c>
      <c r="H25">
        <v>11</v>
      </c>
      <c r="I25">
        <v>1.54</v>
      </c>
      <c r="J25">
        <v>1.55</v>
      </c>
      <c r="K25">
        <v>1.532</v>
      </c>
      <c r="L25">
        <v>1.5369999999999999</v>
      </c>
      <c r="O25">
        <v>11</v>
      </c>
      <c r="P25">
        <v>2.3290000000000002</v>
      </c>
      <c r="Q25">
        <v>2.2269999999999999</v>
      </c>
      <c r="R25">
        <v>2.081</v>
      </c>
      <c r="S25">
        <v>2.0539999999999998</v>
      </c>
      <c r="T25">
        <v>1.8049999999999999</v>
      </c>
      <c r="U25">
        <v>11</v>
      </c>
      <c r="V25">
        <v>1.6259999999999999</v>
      </c>
      <c r="W25">
        <v>1.63</v>
      </c>
      <c r="X25">
        <v>1.6259999999999999</v>
      </c>
      <c r="Y25">
        <v>1.669</v>
      </c>
    </row>
    <row r="26" spans="2:25" x14ac:dyDescent="0.4">
      <c r="B26">
        <v>12</v>
      </c>
      <c r="C26">
        <v>1.8859999999999999</v>
      </c>
      <c r="D26">
        <v>1.855</v>
      </c>
      <c r="E26">
        <v>1.7689999999999999</v>
      </c>
      <c r="F26">
        <v>1.7090000000000001</v>
      </c>
      <c r="G26">
        <v>1.643</v>
      </c>
      <c r="H26">
        <v>12</v>
      </c>
      <c r="I26">
        <v>1.54</v>
      </c>
      <c r="J26">
        <v>1.54</v>
      </c>
      <c r="K26">
        <v>1.5289999999999999</v>
      </c>
      <c r="L26">
        <v>1.5369999999999999</v>
      </c>
      <c r="O26">
        <v>12</v>
      </c>
      <c r="P26">
        <v>2.3330000000000002</v>
      </c>
      <c r="Q26">
        <v>2.2269999999999999</v>
      </c>
      <c r="R26">
        <v>2.0910000000000002</v>
      </c>
      <c r="S26">
        <v>2.0640000000000001</v>
      </c>
      <c r="T26">
        <v>1.798</v>
      </c>
      <c r="U26">
        <v>12</v>
      </c>
      <c r="V26">
        <v>1.623</v>
      </c>
      <c r="W26">
        <v>1.63</v>
      </c>
      <c r="X26">
        <v>1.623</v>
      </c>
      <c r="Y26">
        <v>1.669</v>
      </c>
    </row>
    <row r="27" spans="2:25" x14ac:dyDescent="0.4">
      <c r="B27">
        <v>12</v>
      </c>
      <c r="C27">
        <v>1.8859999999999999</v>
      </c>
      <c r="D27">
        <v>1.849</v>
      </c>
      <c r="E27">
        <v>1.78</v>
      </c>
      <c r="F27">
        <v>1.712</v>
      </c>
      <c r="G27">
        <v>1.63</v>
      </c>
      <c r="H27">
        <v>12</v>
      </c>
      <c r="I27">
        <v>1.5289999999999999</v>
      </c>
      <c r="J27">
        <v>1.54</v>
      </c>
      <c r="K27">
        <v>1.532</v>
      </c>
      <c r="L27">
        <v>1.5469999999999999</v>
      </c>
      <c r="O27">
        <v>12</v>
      </c>
      <c r="P27">
        <v>2.319</v>
      </c>
      <c r="Q27">
        <v>2.2269999999999999</v>
      </c>
      <c r="R27">
        <v>2.0910000000000002</v>
      </c>
      <c r="S27">
        <v>2.0640000000000001</v>
      </c>
      <c r="T27">
        <v>1.798</v>
      </c>
      <c r="U27">
        <v>12</v>
      </c>
      <c r="V27">
        <v>1.623</v>
      </c>
      <c r="W27">
        <v>1.617</v>
      </c>
      <c r="X27">
        <v>1.623</v>
      </c>
      <c r="Y27">
        <v>1.6559999999999999</v>
      </c>
    </row>
    <row r="28" spans="2:25" x14ac:dyDescent="0.4">
      <c r="B28">
        <v>13</v>
      </c>
      <c r="C28">
        <v>1.8859999999999999</v>
      </c>
      <c r="D28">
        <v>1.845</v>
      </c>
      <c r="E28">
        <v>1.7689999999999999</v>
      </c>
      <c r="F28">
        <v>1.6990000000000001</v>
      </c>
      <c r="G28">
        <v>1.62</v>
      </c>
      <c r="H28">
        <v>13</v>
      </c>
      <c r="I28">
        <v>1.5369999999999999</v>
      </c>
      <c r="J28">
        <v>1.5289999999999999</v>
      </c>
      <c r="K28">
        <v>1.542</v>
      </c>
      <c r="L28">
        <v>1.544</v>
      </c>
      <c r="O28">
        <v>13</v>
      </c>
      <c r="P28">
        <v>2.319</v>
      </c>
      <c r="Q28">
        <v>2.2269999999999999</v>
      </c>
      <c r="R28">
        <v>2.0840000000000001</v>
      </c>
      <c r="S28">
        <v>2.0640000000000001</v>
      </c>
      <c r="T28">
        <v>1.8049999999999999</v>
      </c>
      <c r="U28">
        <v>13</v>
      </c>
      <c r="V28">
        <v>1.6259999999999999</v>
      </c>
      <c r="W28">
        <v>1.64</v>
      </c>
      <c r="X28">
        <v>1.633</v>
      </c>
      <c r="Y28">
        <v>1.6559999999999999</v>
      </c>
    </row>
    <row r="29" spans="2:25" x14ac:dyDescent="0.4">
      <c r="B29">
        <v>13</v>
      </c>
      <c r="C29">
        <v>1.8759999999999999</v>
      </c>
      <c r="D29">
        <v>1.845</v>
      </c>
      <c r="E29">
        <v>1.776</v>
      </c>
      <c r="F29">
        <v>1.7090000000000001</v>
      </c>
      <c r="G29">
        <v>1.633</v>
      </c>
      <c r="H29">
        <v>13</v>
      </c>
      <c r="I29">
        <v>1.5369999999999999</v>
      </c>
      <c r="J29">
        <v>1.54</v>
      </c>
      <c r="K29">
        <v>1.532</v>
      </c>
      <c r="L29">
        <v>1.54</v>
      </c>
      <c r="O29">
        <v>13</v>
      </c>
      <c r="P29">
        <v>2.323</v>
      </c>
      <c r="Q29">
        <v>2.2269999999999999</v>
      </c>
      <c r="R29">
        <v>2.0910000000000002</v>
      </c>
      <c r="S29">
        <v>2.0510000000000002</v>
      </c>
      <c r="T29">
        <v>1.8080000000000001</v>
      </c>
      <c r="U29">
        <v>13</v>
      </c>
      <c r="V29">
        <v>1.633</v>
      </c>
      <c r="W29">
        <v>1.64</v>
      </c>
      <c r="X29">
        <v>1.633</v>
      </c>
      <c r="Y29">
        <v>1.659</v>
      </c>
    </row>
    <row r="30" spans="2:25" x14ac:dyDescent="0.4">
      <c r="B30">
        <v>14</v>
      </c>
      <c r="C30">
        <v>1.8819999999999999</v>
      </c>
      <c r="D30">
        <v>1.849</v>
      </c>
      <c r="E30">
        <v>1.776</v>
      </c>
      <c r="F30">
        <v>1.7090000000000001</v>
      </c>
      <c r="G30">
        <v>1.633</v>
      </c>
      <c r="H30">
        <v>14</v>
      </c>
      <c r="I30">
        <v>1.5469999999999999</v>
      </c>
      <c r="J30">
        <v>1.552</v>
      </c>
      <c r="K30">
        <v>1.542</v>
      </c>
      <c r="L30">
        <v>1.5369999999999999</v>
      </c>
      <c r="O30">
        <v>14</v>
      </c>
      <c r="P30">
        <v>2.339</v>
      </c>
      <c r="Q30">
        <v>2.2330000000000001</v>
      </c>
      <c r="R30">
        <v>2.0840000000000001</v>
      </c>
      <c r="S30">
        <v>2.0640000000000001</v>
      </c>
      <c r="T30">
        <v>1.8080000000000001</v>
      </c>
      <c r="U30">
        <v>14</v>
      </c>
      <c r="V30">
        <v>1.623</v>
      </c>
      <c r="W30">
        <v>1.62</v>
      </c>
      <c r="X30">
        <v>1.623</v>
      </c>
      <c r="Y30">
        <v>1.659</v>
      </c>
    </row>
    <row r="31" spans="2:25" x14ac:dyDescent="0.4">
      <c r="B31">
        <v>14</v>
      </c>
      <c r="C31">
        <v>1.8859999999999999</v>
      </c>
      <c r="D31">
        <v>1.835</v>
      </c>
      <c r="E31">
        <v>1.7689999999999999</v>
      </c>
      <c r="F31">
        <v>1.706</v>
      </c>
      <c r="G31">
        <v>1.633</v>
      </c>
      <c r="H31">
        <v>14</v>
      </c>
      <c r="I31">
        <v>1.5369999999999999</v>
      </c>
      <c r="J31">
        <v>1.54</v>
      </c>
      <c r="K31">
        <v>1.532</v>
      </c>
      <c r="L31">
        <v>1.5369999999999999</v>
      </c>
      <c r="O31">
        <v>14</v>
      </c>
      <c r="P31">
        <v>2.339</v>
      </c>
      <c r="Q31">
        <v>2.2269999999999999</v>
      </c>
      <c r="R31">
        <v>2.0910000000000002</v>
      </c>
      <c r="S31">
        <v>2.0640000000000001</v>
      </c>
      <c r="T31">
        <v>1.8080000000000001</v>
      </c>
      <c r="U31">
        <v>14</v>
      </c>
      <c r="V31">
        <v>1.623</v>
      </c>
      <c r="W31">
        <v>1.62</v>
      </c>
      <c r="X31">
        <v>1.623</v>
      </c>
      <c r="Y31">
        <v>1.659</v>
      </c>
    </row>
    <row r="32" spans="2:25" x14ac:dyDescent="0.4">
      <c r="B32">
        <v>15</v>
      </c>
      <c r="C32">
        <v>1.8720000000000001</v>
      </c>
      <c r="D32">
        <v>1.835</v>
      </c>
      <c r="E32">
        <v>1.766</v>
      </c>
      <c r="F32">
        <v>1.702</v>
      </c>
      <c r="G32">
        <v>1.63</v>
      </c>
      <c r="H32">
        <v>15</v>
      </c>
      <c r="I32">
        <v>1.5369999999999999</v>
      </c>
      <c r="J32">
        <v>1.542</v>
      </c>
      <c r="K32">
        <v>1.532</v>
      </c>
      <c r="L32">
        <v>1.54</v>
      </c>
      <c r="O32">
        <v>15</v>
      </c>
      <c r="P32">
        <v>2.319</v>
      </c>
      <c r="Q32">
        <v>2.2330000000000001</v>
      </c>
      <c r="R32">
        <v>2.081</v>
      </c>
      <c r="S32">
        <v>2.0640000000000001</v>
      </c>
      <c r="T32">
        <v>1.798</v>
      </c>
      <c r="U32">
        <v>15</v>
      </c>
      <c r="V32">
        <v>1.6160000000000001</v>
      </c>
      <c r="W32">
        <v>1.627</v>
      </c>
      <c r="X32">
        <v>1.6259999999999999</v>
      </c>
      <c r="Y32">
        <v>1.669</v>
      </c>
    </row>
    <row r="33" spans="2:25" x14ac:dyDescent="0.4">
      <c r="B33">
        <v>15</v>
      </c>
      <c r="C33">
        <v>1.8859999999999999</v>
      </c>
      <c r="D33">
        <v>1.855</v>
      </c>
      <c r="E33">
        <v>1.766</v>
      </c>
      <c r="F33">
        <v>1.6990000000000001</v>
      </c>
      <c r="G33">
        <v>1.643</v>
      </c>
      <c r="H33">
        <v>15</v>
      </c>
      <c r="I33">
        <v>1.5369999999999999</v>
      </c>
      <c r="J33">
        <v>1.524</v>
      </c>
      <c r="K33">
        <v>1.532</v>
      </c>
      <c r="L33">
        <v>1.5369999999999999</v>
      </c>
      <c r="O33">
        <v>15</v>
      </c>
      <c r="P33">
        <v>2.319</v>
      </c>
      <c r="Q33">
        <v>2.2269999999999999</v>
      </c>
      <c r="R33">
        <v>2.081</v>
      </c>
      <c r="S33">
        <v>2.0640000000000001</v>
      </c>
      <c r="T33">
        <v>1.8080000000000001</v>
      </c>
      <c r="U33">
        <v>15</v>
      </c>
      <c r="V33">
        <v>1.623</v>
      </c>
      <c r="W33">
        <v>1.62</v>
      </c>
      <c r="X33">
        <v>1.623</v>
      </c>
      <c r="Y33">
        <v>1.669</v>
      </c>
    </row>
    <row r="34" spans="2:25" x14ac:dyDescent="0.4">
      <c r="B34">
        <v>16</v>
      </c>
      <c r="C34">
        <v>1.8819999999999999</v>
      </c>
      <c r="D34">
        <v>1.849</v>
      </c>
      <c r="E34">
        <v>1.756</v>
      </c>
      <c r="F34">
        <v>1.6990000000000001</v>
      </c>
      <c r="G34">
        <v>1.65</v>
      </c>
      <c r="H34">
        <v>16</v>
      </c>
      <c r="I34">
        <v>1.5269999999999999</v>
      </c>
      <c r="J34">
        <v>1.54</v>
      </c>
      <c r="K34">
        <v>1.542</v>
      </c>
      <c r="L34">
        <v>1.5369999999999999</v>
      </c>
      <c r="O34">
        <v>16</v>
      </c>
      <c r="P34">
        <v>2.319</v>
      </c>
      <c r="Q34">
        <v>2.2229999999999999</v>
      </c>
      <c r="R34">
        <v>2.0910000000000002</v>
      </c>
      <c r="S34">
        <v>2.0739999999999998</v>
      </c>
      <c r="T34">
        <v>1.8080000000000001</v>
      </c>
      <c r="U34">
        <v>16</v>
      </c>
      <c r="V34">
        <v>1.6160000000000001</v>
      </c>
      <c r="W34">
        <v>1.627</v>
      </c>
      <c r="X34">
        <v>1.6359999999999999</v>
      </c>
      <c r="Y34">
        <v>1.669</v>
      </c>
    </row>
    <row r="35" spans="2:25" x14ac:dyDescent="0.4">
      <c r="B35">
        <v>16</v>
      </c>
      <c r="C35">
        <v>1.8819999999999999</v>
      </c>
      <c r="D35">
        <v>1.849</v>
      </c>
      <c r="E35">
        <v>1.7689999999999999</v>
      </c>
      <c r="F35">
        <v>1.7090000000000001</v>
      </c>
      <c r="G35">
        <v>1.633</v>
      </c>
      <c r="H35">
        <v>16</v>
      </c>
      <c r="I35">
        <v>1.5269999999999999</v>
      </c>
      <c r="J35">
        <v>1.5289999999999999</v>
      </c>
      <c r="K35">
        <v>1.542</v>
      </c>
      <c r="L35">
        <v>1.5369999999999999</v>
      </c>
      <c r="O35">
        <v>16</v>
      </c>
      <c r="P35">
        <v>2.3290000000000002</v>
      </c>
      <c r="Q35">
        <v>2.2229999999999999</v>
      </c>
      <c r="R35">
        <v>2.0910000000000002</v>
      </c>
      <c r="S35">
        <v>2.0640000000000001</v>
      </c>
      <c r="T35">
        <v>1.7949999999999999</v>
      </c>
      <c r="U35">
        <v>16</v>
      </c>
      <c r="V35">
        <v>1.6160000000000001</v>
      </c>
      <c r="W35">
        <v>1.62</v>
      </c>
      <c r="X35">
        <v>1.623</v>
      </c>
      <c r="Y35">
        <v>1.6659999999999999</v>
      </c>
    </row>
    <row r="36" spans="2:25" x14ac:dyDescent="0.4">
      <c r="B36">
        <v>17</v>
      </c>
      <c r="C36">
        <v>1.8859999999999999</v>
      </c>
      <c r="D36">
        <v>1.845</v>
      </c>
      <c r="E36">
        <v>1.766</v>
      </c>
      <c r="F36">
        <v>1.7090000000000001</v>
      </c>
      <c r="G36">
        <v>1.633</v>
      </c>
      <c r="H36">
        <v>17</v>
      </c>
      <c r="I36">
        <v>1.5369999999999999</v>
      </c>
      <c r="J36">
        <v>1.54</v>
      </c>
      <c r="K36">
        <v>1.542</v>
      </c>
      <c r="L36">
        <v>1.54</v>
      </c>
      <c r="O36">
        <v>17</v>
      </c>
      <c r="P36">
        <v>2.319</v>
      </c>
      <c r="Q36">
        <v>2.2269999999999999</v>
      </c>
      <c r="R36">
        <v>2.0840000000000001</v>
      </c>
      <c r="S36">
        <v>2.0640000000000001</v>
      </c>
      <c r="T36">
        <v>1.8080000000000001</v>
      </c>
      <c r="U36">
        <v>17</v>
      </c>
      <c r="V36">
        <v>1.6160000000000001</v>
      </c>
      <c r="W36">
        <v>1.627</v>
      </c>
      <c r="X36">
        <v>1.623</v>
      </c>
      <c r="Y36">
        <v>1.6559999999999999</v>
      </c>
    </row>
    <row r="37" spans="2:25" x14ac:dyDescent="0.4">
      <c r="B37">
        <v>17</v>
      </c>
      <c r="C37">
        <v>1.8859999999999999</v>
      </c>
      <c r="D37">
        <v>1.849</v>
      </c>
      <c r="E37">
        <v>1.766</v>
      </c>
      <c r="F37">
        <v>1.7090000000000001</v>
      </c>
      <c r="G37">
        <v>1.63</v>
      </c>
      <c r="H37">
        <v>17</v>
      </c>
      <c r="I37">
        <v>1.5269999999999999</v>
      </c>
      <c r="J37">
        <v>1.5269999999999999</v>
      </c>
      <c r="K37">
        <v>1.542</v>
      </c>
      <c r="L37">
        <v>1.54</v>
      </c>
      <c r="O37">
        <v>17</v>
      </c>
      <c r="P37">
        <v>2.319</v>
      </c>
      <c r="Q37">
        <v>2.2269999999999999</v>
      </c>
      <c r="R37">
        <v>2.0910000000000002</v>
      </c>
      <c r="S37">
        <v>2.0640000000000001</v>
      </c>
      <c r="T37">
        <v>1.8080000000000001</v>
      </c>
      <c r="U37">
        <v>17</v>
      </c>
      <c r="V37">
        <v>1.6259999999999999</v>
      </c>
      <c r="W37">
        <v>1.627</v>
      </c>
      <c r="X37">
        <v>1.633</v>
      </c>
      <c r="Y37">
        <v>1.6559999999999999</v>
      </c>
    </row>
    <row r="38" spans="2:25" x14ac:dyDescent="0.4">
      <c r="B38">
        <v>18</v>
      </c>
      <c r="C38">
        <v>1.893</v>
      </c>
      <c r="D38">
        <v>1.849</v>
      </c>
      <c r="E38">
        <v>1.7689999999999999</v>
      </c>
      <c r="F38">
        <v>1.669</v>
      </c>
      <c r="G38">
        <v>1.63</v>
      </c>
      <c r="H38">
        <v>18</v>
      </c>
      <c r="I38">
        <v>1.5369999999999999</v>
      </c>
      <c r="J38">
        <v>1.5289999999999999</v>
      </c>
      <c r="K38">
        <v>1.522</v>
      </c>
      <c r="L38">
        <v>1.5369999999999999</v>
      </c>
      <c r="O38">
        <v>18</v>
      </c>
      <c r="P38">
        <v>2.3290000000000002</v>
      </c>
      <c r="Q38">
        <v>2.2229999999999999</v>
      </c>
      <c r="R38">
        <v>2.0739999999999998</v>
      </c>
      <c r="S38">
        <v>2.0640000000000001</v>
      </c>
      <c r="T38">
        <v>1.798</v>
      </c>
      <c r="U38">
        <v>18</v>
      </c>
      <c r="V38">
        <v>1.623</v>
      </c>
      <c r="W38">
        <v>1.627</v>
      </c>
      <c r="X38">
        <v>1.6259999999999999</v>
      </c>
      <c r="Y38">
        <v>1.669</v>
      </c>
    </row>
    <row r="39" spans="2:25" x14ac:dyDescent="0.4">
      <c r="B39">
        <v>18</v>
      </c>
      <c r="C39">
        <v>1.8819999999999999</v>
      </c>
      <c r="D39">
        <v>1.835</v>
      </c>
      <c r="E39">
        <v>1.7689999999999999</v>
      </c>
      <c r="F39">
        <v>1.6990000000000001</v>
      </c>
      <c r="G39">
        <v>1.6379999999999999</v>
      </c>
      <c r="H39">
        <v>18</v>
      </c>
      <c r="I39">
        <v>1.5369999999999999</v>
      </c>
      <c r="J39">
        <v>1.54</v>
      </c>
      <c r="K39">
        <v>1.542</v>
      </c>
      <c r="L39">
        <v>1.5469999999999999</v>
      </c>
      <c r="O39">
        <v>18</v>
      </c>
      <c r="P39">
        <v>2.3290000000000002</v>
      </c>
      <c r="Q39">
        <v>2.2269999999999999</v>
      </c>
      <c r="R39">
        <v>2.0840000000000001</v>
      </c>
      <c r="S39">
        <v>2.0539999999999998</v>
      </c>
      <c r="T39">
        <v>1.8080000000000001</v>
      </c>
      <c r="U39">
        <v>18</v>
      </c>
      <c r="V39">
        <v>1.6259999999999999</v>
      </c>
      <c r="W39">
        <v>1.627</v>
      </c>
      <c r="X39">
        <v>1.6259999999999999</v>
      </c>
      <c r="Y39">
        <v>1.659</v>
      </c>
    </row>
    <row r="40" spans="2:25" x14ac:dyDescent="0.4">
      <c r="B40">
        <v>19</v>
      </c>
      <c r="C40">
        <v>1.893</v>
      </c>
      <c r="D40">
        <v>1.849</v>
      </c>
      <c r="E40">
        <v>1.7689999999999999</v>
      </c>
      <c r="F40">
        <v>1.702</v>
      </c>
      <c r="G40">
        <v>1.63</v>
      </c>
      <c r="H40">
        <v>19</v>
      </c>
      <c r="I40">
        <v>1.5369999999999999</v>
      </c>
      <c r="J40">
        <v>1.54</v>
      </c>
      <c r="K40">
        <v>1.534</v>
      </c>
      <c r="L40">
        <v>1.5469999999999999</v>
      </c>
      <c r="O40">
        <v>19</v>
      </c>
      <c r="P40">
        <v>2.319</v>
      </c>
      <c r="Q40">
        <v>2.2330000000000001</v>
      </c>
      <c r="R40">
        <v>2.0840000000000001</v>
      </c>
      <c r="S40">
        <v>2.0539999999999998</v>
      </c>
      <c r="T40">
        <v>1.798</v>
      </c>
      <c r="U40">
        <v>19</v>
      </c>
      <c r="V40">
        <v>1.6160000000000001</v>
      </c>
      <c r="W40">
        <v>1.63</v>
      </c>
      <c r="X40">
        <v>1.6259999999999999</v>
      </c>
      <c r="Y40">
        <v>1.6559999999999999</v>
      </c>
    </row>
    <row r="41" spans="2:25" x14ac:dyDescent="0.4">
      <c r="B41">
        <v>19</v>
      </c>
      <c r="C41">
        <v>1.893</v>
      </c>
      <c r="D41">
        <v>1.845</v>
      </c>
      <c r="E41">
        <v>1.7589999999999999</v>
      </c>
      <c r="F41">
        <v>1.702</v>
      </c>
      <c r="G41">
        <v>1.63</v>
      </c>
      <c r="H41">
        <v>19</v>
      </c>
      <c r="I41">
        <v>1.5369999999999999</v>
      </c>
      <c r="J41">
        <v>1.54</v>
      </c>
      <c r="K41">
        <v>1.542</v>
      </c>
      <c r="L41">
        <v>1.5369999999999999</v>
      </c>
      <c r="O41">
        <v>19</v>
      </c>
      <c r="P41">
        <v>2.319</v>
      </c>
      <c r="Q41">
        <v>2.2269999999999999</v>
      </c>
      <c r="R41">
        <v>2.081</v>
      </c>
      <c r="S41">
        <v>2.0739999999999998</v>
      </c>
      <c r="T41">
        <v>1.8080000000000001</v>
      </c>
      <c r="U41">
        <v>19</v>
      </c>
      <c r="V41">
        <v>1.6160000000000001</v>
      </c>
      <c r="W41">
        <v>1.63</v>
      </c>
      <c r="X41">
        <v>1.6259999999999999</v>
      </c>
      <c r="Y41">
        <v>1.6559999999999999</v>
      </c>
    </row>
    <row r="42" spans="2:25" x14ac:dyDescent="0.4">
      <c r="B42">
        <v>20</v>
      </c>
      <c r="C42">
        <v>1.893</v>
      </c>
      <c r="D42">
        <v>1.845</v>
      </c>
      <c r="E42">
        <v>1.766</v>
      </c>
      <c r="F42">
        <v>1.702</v>
      </c>
      <c r="G42">
        <v>1.64</v>
      </c>
      <c r="H42">
        <v>20</v>
      </c>
      <c r="I42">
        <v>1.5369999999999999</v>
      </c>
      <c r="J42">
        <v>1.54</v>
      </c>
      <c r="K42">
        <v>1.532</v>
      </c>
      <c r="L42">
        <v>1.55</v>
      </c>
      <c r="O42">
        <v>20</v>
      </c>
      <c r="P42">
        <v>2.3290000000000002</v>
      </c>
      <c r="Q42">
        <v>2.2170000000000001</v>
      </c>
      <c r="R42">
        <v>2.077</v>
      </c>
      <c r="S42">
        <v>2.0640000000000001</v>
      </c>
      <c r="T42">
        <v>1.8080000000000001</v>
      </c>
      <c r="U42">
        <v>20</v>
      </c>
      <c r="V42">
        <v>1.6160000000000001</v>
      </c>
      <c r="W42">
        <v>1.62</v>
      </c>
      <c r="X42">
        <v>1.6259999999999999</v>
      </c>
      <c r="Y42">
        <v>1.6559999999999999</v>
      </c>
    </row>
    <row r="43" spans="2:25" x14ac:dyDescent="0.4">
      <c r="B43">
        <v>20</v>
      </c>
      <c r="C43">
        <v>1.8859999999999999</v>
      </c>
      <c r="D43">
        <v>1.849</v>
      </c>
      <c r="E43">
        <v>1.766</v>
      </c>
      <c r="F43">
        <v>1.7090000000000001</v>
      </c>
      <c r="G43">
        <v>1.63</v>
      </c>
      <c r="H43">
        <v>20</v>
      </c>
      <c r="I43">
        <v>1.5369999999999999</v>
      </c>
      <c r="J43">
        <v>1.56</v>
      </c>
      <c r="K43">
        <v>1.532</v>
      </c>
      <c r="L43">
        <v>1.5469999999999999</v>
      </c>
      <c r="O43">
        <v>20</v>
      </c>
      <c r="P43">
        <v>2.323</v>
      </c>
      <c r="Q43">
        <v>2.2330000000000001</v>
      </c>
      <c r="R43">
        <v>2.0939999999999999</v>
      </c>
      <c r="S43">
        <v>2.0539999999999998</v>
      </c>
      <c r="T43">
        <v>1.7949999999999999</v>
      </c>
      <c r="U43">
        <v>20</v>
      </c>
      <c r="V43">
        <v>1.6160000000000001</v>
      </c>
      <c r="W43">
        <v>1.64</v>
      </c>
      <c r="X43">
        <v>1.633</v>
      </c>
      <c r="Y43">
        <v>1.6559999999999999</v>
      </c>
    </row>
    <row r="44" spans="2:25" x14ac:dyDescent="0.4">
      <c r="B44">
        <v>21</v>
      </c>
      <c r="C44">
        <v>1.8859999999999999</v>
      </c>
      <c r="D44">
        <v>1.845</v>
      </c>
      <c r="E44">
        <v>1.766</v>
      </c>
      <c r="F44">
        <v>1.7090000000000001</v>
      </c>
      <c r="G44">
        <v>1.63</v>
      </c>
      <c r="H44">
        <v>21</v>
      </c>
      <c r="I44">
        <v>1.5369999999999999</v>
      </c>
      <c r="J44">
        <v>1.54</v>
      </c>
      <c r="K44">
        <v>1.532</v>
      </c>
      <c r="L44">
        <v>1.5469999999999999</v>
      </c>
      <c r="O44">
        <v>21</v>
      </c>
      <c r="P44">
        <v>2.3330000000000002</v>
      </c>
      <c r="Q44">
        <v>2.2330000000000001</v>
      </c>
      <c r="R44">
        <v>2.081</v>
      </c>
      <c r="S44">
        <v>2.0539999999999998</v>
      </c>
      <c r="T44">
        <v>1.8080000000000001</v>
      </c>
      <c r="U44">
        <v>21</v>
      </c>
      <c r="V44">
        <v>1.6359999999999999</v>
      </c>
      <c r="W44">
        <v>1.627</v>
      </c>
      <c r="X44">
        <v>1.623</v>
      </c>
      <c r="Y44">
        <v>1.6659999999999999</v>
      </c>
    </row>
    <row r="45" spans="2:25" x14ac:dyDescent="0.4">
      <c r="B45">
        <v>21</v>
      </c>
      <c r="C45">
        <v>1.8819999999999999</v>
      </c>
      <c r="D45">
        <v>1.859</v>
      </c>
      <c r="E45">
        <v>1.7689999999999999</v>
      </c>
      <c r="F45">
        <v>1.702</v>
      </c>
      <c r="G45">
        <v>1.633</v>
      </c>
      <c r="H45">
        <v>21</v>
      </c>
      <c r="I45">
        <v>1.5369999999999999</v>
      </c>
      <c r="J45">
        <v>1.54</v>
      </c>
      <c r="K45">
        <v>1.5289999999999999</v>
      </c>
      <c r="L45">
        <v>1.5469999999999999</v>
      </c>
      <c r="O45">
        <v>21</v>
      </c>
      <c r="P45">
        <v>2.3330000000000002</v>
      </c>
      <c r="Q45">
        <v>2.2370000000000001</v>
      </c>
      <c r="R45">
        <v>2.0910000000000002</v>
      </c>
      <c r="S45">
        <v>2.0609999999999999</v>
      </c>
      <c r="T45">
        <v>1.8049999999999999</v>
      </c>
      <c r="U45">
        <v>21</v>
      </c>
      <c r="V45">
        <v>1.6160000000000001</v>
      </c>
      <c r="W45">
        <v>1.627</v>
      </c>
      <c r="X45">
        <v>1.613</v>
      </c>
      <c r="Y45">
        <v>1.649</v>
      </c>
    </row>
    <row r="46" spans="2:25" x14ac:dyDescent="0.4">
      <c r="B46">
        <v>22</v>
      </c>
      <c r="C46">
        <v>1.8859999999999999</v>
      </c>
      <c r="D46">
        <v>1.855</v>
      </c>
      <c r="E46">
        <v>1.756</v>
      </c>
      <c r="F46">
        <v>1.702</v>
      </c>
      <c r="G46">
        <v>1.633</v>
      </c>
      <c r="H46">
        <v>22</v>
      </c>
      <c r="I46">
        <v>1.5469999999999999</v>
      </c>
      <c r="J46">
        <v>1.5369999999999999</v>
      </c>
      <c r="K46">
        <v>1.532</v>
      </c>
      <c r="L46">
        <v>1.54</v>
      </c>
      <c r="O46">
        <v>22</v>
      </c>
      <c r="P46">
        <v>2.3330000000000002</v>
      </c>
      <c r="Q46">
        <v>2.2170000000000001</v>
      </c>
      <c r="R46">
        <v>2.0910000000000002</v>
      </c>
      <c r="S46">
        <v>2.0609999999999999</v>
      </c>
      <c r="T46">
        <v>1.798</v>
      </c>
      <c r="U46">
        <v>22</v>
      </c>
      <c r="V46">
        <v>1.6259999999999999</v>
      </c>
      <c r="W46">
        <v>1.62</v>
      </c>
      <c r="X46">
        <v>1.6459999999999999</v>
      </c>
      <c r="Y46">
        <v>1.6659999999999999</v>
      </c>
    </row>
    <row r="47" spans="2:25" x14ac:dyDescent="0.4">
      <c r="B47">
        <v>22</v>
      </c>
      <c r="C47">
        <v>1.8819999999999999</v>
      </c>
      <c r="D47">
        <v>1.849</v>
      </c>
      <c r="E47">
        <v>1.766</v>
      </c>
      <c r="F47">
        <v>1.6990000000000001</v>
      </c>
      <c r="G47">
        <v>1.63</v>
      </c>
      <c r="H47">
        <v>22</v>
      </c>
      <c r="I47">
        <v>1.5369999999999999</v>
      </c>
      <c r="J47">
        <v>1.5289999999999999</v>
      </c>
      <c r="K47">
        <v>1.5189999999999999</v>
      </c>
      <c r="L47">
        <v>1.5269999999999999</v>
      </c>
      <c r="O47">
        <v>22</v>
      </c>
      <c r="P47">
        <v>2.339</v>
      </c>
      <c r="Q47">
        <v>2.2269999999999999</v>
      </c>
      <c r="R47">
        <v>2.0939999999999999</v>
      </c>
      <c r="S47">
        <v>2.0640000000000001</v>
      </c>
      <c r="T47">
        <v>1.7949999999999999</v>
      </c>
      <c r="U47">
        <v>22</v>
      </c>
      <c r="V47">
        <v>1.6259999999999999</v>
      </c>
      <c r="W47">
        <v>1.62</v>
      </c>
      <c r="X47">
        <v>1.623</v>
      </c>
      <c r="Y47">
        <v>1.6659999999999999</v>
      </c>
    </row>
    <row r="48" spans="2:25" x14ac:dyDescent="0.4">
      <c r="B48">
        <v>23</v>
      </c>
      <c r="C48">
        <v>1.8819999999999999</v>
      </c>
      <c r="D48">
        <v>1.855</v>
      </c>
      <c r="E48">
        <v>1.766</v>
      </c>
      <c r="F48">
        <v>1.6990000000000001</v>
      </c>
      <c r="G48">
        <v>1.643</v>
      </c>
      <c r="H48">
        <v>23</v>
      </c>
      <c r="I48">
        <v>1.5269999999999999</v>
      </c>
      <c r="J48">
        <v>1.54</v>
      </c>
      <c r="K48">
        <v>1.532</v>
      </c>
      <c r="L48">
        <v>1.5369999999999999</v>
      </c>
      <c r="O48">
        <v>23</v>
      </c>
      <c r="P48">
        <v>2.319</v>
      </c>
      <c r="Q48">
        <v>2.2189999999999999</v>
      </c>
      <c r="R48">
        <v>2.081</v>
      </c>
      <c r="S48">
        <v>2.0640000000000001</v>
      </c>
      <c r="T48">
        <v>1.798</v>
      </c>
      <c r="U48">
        <v>23</v>
      </c>
      <c r="V48">
        <v>1.6259999999999999</v>
      </c>
      <c r="W48">
        <v>1.63</v>
      </c>
      <c r="X48">
        <v>1.623</v>
      </c>
      <c r="Y48">
        <v>1.669</v>
      </c>
    </row>
    <row r="49" spans="2:25" x14ac:dyDescent="0.4">
      <c r="B49">
        <v>23</v>
      </c>
      <c r="C49">
        <v>1.8819999999999999</v>
      </c>
      <c r="D49">
        <v>1.859</v>
      </c>
      <c r="E49">
        <v>1.766</v>
      </c>
      <c r="F49">
        <v>1.6990000000000001</v>
      </c>
      <c r="G49">
        <v>1.633</v>
      </c>
      <c r="H49">
        <v>23</v>
      </c>
      <c r="I49">
        <v>1.5269999999999999</v>
      </c>
      <c r="J49">
        <v>1.54</v>
      </c>
      <c r="K49">
        <v>1.532</v>
      </c>
      <c r="L49">
        <v>1.5369999999999999</v>
      </c>
      <c r="O49">
        <v>23</v>
      </c>
      <c r="P49">
        <v>2.3330000000000002</v>
      </c>
      <c r="Q49">
        <v>2.2189999999999999</v>
      </c>
      <c r="R49">
        <v>2.0910000000000002</v>
      </c>
      <c r="S49">
        <v>2.0640000000000001</v>
      </c>
      <c r="T49">
        <v>1.8049999999999999</v>
      </c>
      <c r="U49">
        <v>23</v>
      </c>
      <c r="V49">
        <v>1.6259999999999999</v>
      </c>
      <c r="W49">
        <v>1.63</v>
      </c>
      <c r="X49">
        <v>1.6259999999999999</v>
      </c>
      <c r="Y49">
        <v>1.6759999999999999</v>
      </c>
    </row>
    <row r="50" spans="2:25" x14ac:dyDescent="0.4">
      <c r="B50">
        <v>24</v>
      </c>
      <c r="C50">
        <v>1.8819999999999999</v>
      </c>
      <c r="D50">
        <v>1.849</v>
      </c>
      <c r="E50">
        <v>1.756</v>
      </c>
      <c r="F50">
        <v>1.7090000000000001</v>
      </c>
      <c r="G50">
        <v>1.64</v>
      </c>
      <c r="H50">
        <v>24</v>
      </c>
      <c r="I50">
        <v>1.5269999999999999</v>
      </c>
      <c r="J50">
        <v>1.54</v>
      </c>
      <c r="K50">
        <v>1.544</v>
      </c>
      <c r="L50">
        <v>1.54</v>
      </c>
      <c r="O50">
        <v>24</v>
      </c>
      <c r="P50">
        <v>2.3330000000000002</v>
      </c>
      <c r="Q50">
        <v>2.2269999999999999</v>
      </c>
      <c r="R50">
        <v>2.0840000000000001</v>
      </c>
      <c r="S50">
        <v>2.0640000000000001</v>
      </c>
      <c r="T50">
        <v>1.8080000000000001</v>
      </c>
      <c r="U50">
        <v>24</v>
      </c>
      <c r="V50">
        <v>1.6259999999999999</v>
      </c>
      <c r="W50">
        <v>1.627</v>
      </c>
      <c r="X50">
        <v>1.633</v>
      </c>
      <c r="Y50">
        <v>1.6659999999999999</v>
      </c>
    </row>
    <row r="51" spans="2:25" x14ac:dyDescent="0.4">
      <c r="B51">
        <v>24</v>
      </c>
      <c r="C51">
        <v>1.8720000000000001</v>
      </c>
      <c r="D51">
        <v>1.849</v>
      </c>
      <c r="E51">
        <v>1.766</v>
      </c>
      <c r="F51">
        <v>1.702</v>
      </c>
      <c r="G51">
        <v>1.64</v>
      </c>
      <c r="H51">
        <v>24</v>
      </c>
      <c r="I51">
        <v>1.5269999999999999</v>
      </c>
      <c r="J51">
        <v>1.54</v>
      </c>
      <c r="K51">
        <v>1.544</v>
      </c>
      <c r="L51">
        <v>1.54</v>
      </c>
      <c r="O51">
        <v>24</v>
      </c>
      <c r="P51">
        <v>2.3330000000000002</v>
      </c>
      <c r="Q51">
        <v>2.2370000000000001</v>
      </c>
      <c r="R51">
        <v>2.0840000000000001</v>
      </c>
      <c r="S51">
        <v>2.0640000000000001</v>
      </c>
      <c r="T51">
        <v>1.8080000000000001</v>
      </c>
      <c r="U51">
        <v>24</v>
      </c>
      <c r="V51">
        <v>1.6160000000000001</v>
      </c>
      <c r="W51">
        <v>1.63</v>
      </c>
      <c r="X51">
        <v>1.633</v>
      </c>
      <c r="Y51">
        <v>1.6659999999999999</v>
      </c>
    </row>
    <row r="52" spans="2:25" x14ac:dyDescent="0.4">
      <c r="B52">
        <v>25</v>
      </c>
      <c r="C52">
        <v>1.8819999999999999</v>
      </c>
      <c r="D52">
        <v>1.855</v>
      </c>
      <c r="E52">
        <v>1.766</v>
      </c>
      <c r="F52">
        <v>1.6990000000000001</v>
      </c>
      <c r="G52">
        <v>1.64</v>
      </c>
      <c r="H52">
        <v>25</v>
      </c>
      <c r="I52">
        <v>1.5269999999999999</v>
      </c>
      <c r="J52">
        <v>1.54</v>
      </c>
      <c r="K52">
        <v>1.532</v>
      </c>
      <c r="L52">
        <v>1.5469999999999999</v>
      </c>
      <c r="O52">
        <v>25</v>
      </c>
      <c r="P52">
        <v>2.343</v>
      </c>
      <c r="Q52">
        <v>2.2229999999999999</v>
      </c>
      <c r="R52">
        <v>2.0910000000000002</v>
      </c>
      <c r="S52">
        <v>2.0539999999999998</v>
      </c>
      <c r="T52">
        <v>1.8080000000000001</v>
      </c>
      <c r="U52">
        <v>25</v>
      </c>
      <c r="V52">
        <v>1.623</v>
      </c>
      <c r="W52">
        <v>1.63</v>
      </c>
      <c r="X52">
        <v>1.623</v>
      </c>
      <c r="Y52">
        <v>1.6659999999999999</v>
      </c>
    </row>
    <row r="53" spans="2:25" x14ac:dyDescent="0.4">
      <c r="B53">
        <v>25</v>
      </c>
      <c r="C53">
        <v>1.8859999999999999</v>
      </c>
      <c r="D53">
        <v>1.855</v>
      </c>
      <c r="E53">
        <v>1.766</v>
      </c>
      <c r="F53">
        <v>1.7090000000000001</v>
      </c>
      <c r="G53">
        <v>1.63</v>
      </c>
      <c r="H53">
        <v>25</v>
      </c>
      <c r="I53">
        <v>1.5269999999999999</v>
      </c>
      <c r="J53">
        <v>1.5269999999999999</v>
      </c>
      <c r="K53">
        <v>1.532</v>
      </c>
      <c r="L53">
        <v>1.5369999999999999</v>
      </c>
      <c r="O53">
        <v>25</v>
      </c>
      <c r="P53">
        <v>2.3580000000000001</v>
      </c>
      <c r="Q53">
        <v>2.2269999999999999</v>
      </c>
      <c r="R53">
        <v>2.0910000000000002</v>
      </c>
      <c r="S53">
        <v>2.0640000000000001</v>
      </c>
      <c r="T53">
        <v>1.8049999999999999</v>
      </c>
      <c r="U53">
        <v>25</v>
      </c>
      <c r="V53">
        <v>1.6160000000000001</v>
      </c>
      <c r="W53">
        <v>1.627</v>
      </c>
      <c r="X53">
        <v>1.623</v>
      </c>
      <c r="Y53">
        <v>1.6759999999999999</v>
      </c>
    </row>
    <row r="54" spans="2:25" x14ac:dyDescent="0.4">
      <c r="B54">
        <v>26</v>
      </c>
      <c r="C54">
        <v>1.893</v>
      </c>
      <c r="D54">
        <v>1.835</v>
      </c>
      <c r="E54">
        <v>1.756</v>
      </c>
      <c r="F54">
        <v>1.702</v>
      </c>
      <c r="G54">
        <v>1.63</v>
      </c>
      <c r="H54">
        <v>26</v>
      </c>
      <c r="I54">
        <v>1.5369999999999999</v>
      </c>
      <c r="J54">
        <v>1.5289999999999999</v>
      </c>
      <c r="K54">
        <v>1.532</v>
      </c>
      <c r="L54">
        <v>1.5369999999999999</v>
      </c>
      <c r="O54">
        <v>26</v>
      </c>
      <c r="P54">
        <v>2.3290000000000002</v>
      </c>
      <c r="Q54">
        <v>2.2269999999999999</v>
      </c>
      <c r="R54">
        <v>2.081</v>
      </c>
      <c r="S54">
        <v>2.0640000000000001</v>
      </c>
      <c r="T54">
        <v>1.8049999999999999</v>
      </c>
      <c r="U54">
        <v>26</v>
      </c>
      <c r="V54">
        <v>1.629</v>
      </c>
      <c r="W54">
        <v>1.627</v>
      </c>
      <c r="X54">
        <v>1.623</v>
      </c>
      <c r="Y54">
        <v>1.6559999999999999</v>
      </c>
    </row>
    <row r="55" spans="2:25" x14ac:dyDescent="0.4">
      <c r="B55">
        <v>26</v>
      </c>
      <c r="C55">
        <v>1.8859999999999999</v>
      </c>
      <c r="D55">
        <v>1.855</v>
      </c>
      <c r="E55">
        <v>1.756</v>
      </c>
      <c r="F55">
        <v>1.6990000000000001</v>
      </c>
      <c r="G55">
        <v>1.633</v>
      </c>
      <c r="H55">
        <v>26</v>
      </c>
      <c r="I55">
        <v>1.5369999999999999</v>
      </c>
      <c r="J55">
        <v>1.55</v>
      </c>
      <c r="K55">
        <v>1.532</v>
      </c>
      <c r="L55">
        <v>1.5369999999999999</v>
      </c>
      <c r="O55">
        <v>26</v>
      </c>
      <c r="P55">
        <v>2.323</v>
      </c>
      <c r="Q55">
        <v>2.2370000000000001</v>
      </c>
      <c r="R55">
        <v>2.0840000000000001</v>
      </c>
      <c r="S55">
        <v>2.0640000000000001</v>
      </c>
      <c r="T55">
        <v>1.8049999999999999</v>
      </c>
      <c r="U55">
        <v>26</v>
      </c>
      <c r="V55">
        <v>1.629</v>
      </c>
      <c r="W55">
        <v>1.617</v>
      </c>
      <c r="X55">
        <v>1.62</v>
      </c>
      <c r="Y55">
        <v>1.6759999999999999</v>
      </c>
    </row>
    <row r="56" spans="2:25" x14ac:dyDescent="0.4">
      <c r="B56">
        <v>27</v>
      </c>
      <c r="C56">
        <v>1.8819999999999999</v>
      </c>
      <c r="D56">
        <v>1.859</v>
      </c>
      <c r="E56">
        <v>1.764</v>
      </c>
      <c r="F56">
        <v>1.702</v>
      </c>
      <c r="G56">
        <v>1.63</v>
      </c>
      <c r="H56">
        <v>27</v>
      </c>
      <c r="I56">
        <v>1.5369999999999999</v>
      </c>
      <c r="J56">
        <v>1.54</v>
      </c>
      <c r="K56">
        <v>1.542</v>
      </c>
      <c r="L56">
        <v>1.5469999999999999</v>
      </c>
      <c r="O56">
        <v>27</v>
      </c>
      <c r="P56">
        <v>2.323</v>
      </c>
      <c r="Q56">
        <v>2.2370000000000001</v>
      </c>
      <c r="R56">
        <v>2.0910000000000002</v>
      </c>
      <c r="S56">
        <v>2.0579999999999998</v>
      </c>
      <c r="T56">
        <v>1.8109999999999999</v>
      </c>
      <c r="U56">
        <v>27</v>
      </c>
      <c r="V56">
        <v>1.6259999999999999</v>
      </c>
      <c r="W56">
        <v>1.627</v>
      </c>
      <c r="X56">
        <v>1.623</v>
      </c>
      <c r="Y56">
        <v>1.6759999999999999</v>
      </c>
    </row>
    <row r="57" spans="2:25" x14ac:dyDescent="0.4">
      <c r="B57">
        <v>27</v>
      </c>
      <c r="C57">
        <v>1.8959999999999999</v>
      </c>
      <c r="D57">
        <v>1.855</v>
      </c>
      <c r="E57">
        <v>1.766</v>
      </c>
      <c r="F57">
        <v>1.6990000000000001</v>
      </c>
      <c r="G57">
        <v>1.64</v>
      </c>
      <c r="H57">
        <v>27</v>
      </c>
      <c r="I57">
        <v>1.5269999999999999</v>
      </c>
      <c r="J57">
        <v>1.54</v>
      </c>
      <c r="K57">
        <v>1.5289999999999999</v>
      </c>
      <c r="L57">
        <v>1.5469999999999999</v>
      </c>
      <c r="O57">
        <v>27</v>
      </c>
      <c r="P57">
        <v>2.319</v>
      </c>
      <c r="Q57">
        <v>2.2370000000000001</v>
      </c>
      <c r="R57">
        <v>2.0910000000000002</v>
      </c>
      <c r="S57">
        <v>2.0579999999999998</v>
      </c>
      <c r="T57">
        <v>1.7949999999999999</v>
      </c>
      <c r="U57">
        <v>27</v>
      </c>
      <c r="V57">
        <v>1.6259999999999999</v>
      </c>
      <c r="W57">
        <v>1.627</v>
      </c>
      <c r="X57">
        <v>1.623</v>
      </c>
      <c r="Y57">
        <v>1.6659999999999999</v>
      </c>
    </row>
    <row r="58" spans="2:25" x14ac:dyDescent="0.4">
      <c r="B58">
        <v>28</v>
      </c>
      <c r="C58">
        <v>1.8859999999999999</v>
      </c>
      <c r="D58">
        <v>1.855</v>
      </c>
      <c r="E58">
        <v>1.766</v>
      </c>
      <c r="F58">
        <v>1.702</v>
      </c>
      <c r="G58">
        <v>1.633</v>
      </c>
      <c r="H58">
        <v>28</v>
      </c>
      <c r="I58">
        <v>1.54</v>
      </c>
      <c r="J58">
        <v>1.54</v>
      </c>
      <c r="K58">
        <v>1.542</v>
      </c>
      <c r="L58">
        <v>1.55</v>
      </c>
      <c r="O58">
        <v>28</v>
      </c>
      <c r="P58">
        <v>2.3290000000000002</v>
      </c>
      <c r="Q58">
        <v>2.2370000000000001</v>
      </c>
      <c r="R58">
        <v>2.081</v>
      </c>
      <c r="S58">
        <v>2.0640000000000001</v>
      </c>
      <c r="T58">
        <v>1.798</v>
      </c>
      <c r="U58">
        <v>28</v>
      </c>
      <c r="V58">
        <v>1.6160000000000001</v>
      </c>
      <c r="W58">
        <v>1.627</v>
      </c>
      <c r="X58">
        <v>1.623</v>
      </c>
      <c r="Y58">
        <v>1.659</v>
      </c>
    </row>
    <row r="59" spans="2:25" x14ac:dyDescent="0.4">
      <c r="B59">
        <v>28</v>
      </c>
      <c r="C59">
        <v>1.8859999999999999</v>
      </c>
      <c r="D59">
        <v>1.855</v>
      </c>
      <c r="E59">
        <v>1.766</v>
      </c>
      <c r="F59">
        <v>1.7090000000000001</v>
      </c>
      <c r="G59">
        <v>1.633</v>
      </c>
      <c r="H59">
        <v>28</v>
      </c>
      <c r="I59">
        <v>1.5369999999999999</v>
      </c>
      <c r="J59">
        <v>1.55</v>
      </c>
      <c r="K59">
        <v>1.532</v>
      </c>
      <c r="L59">
        <v>1.5369999999999999</v>
      </c>
      <c r="O59">
        <v>28</v>
      </c>
      <c r="P59">
        <v>2.3290000000000002</v>
      </c>
      <c r="Q59">
        <v>2.2170000000000001</v>
      </c>
      <c r="R59">
        <v>2.081</v>
      </c>
      <c r="S59">
        <v>2.0539999999999998</v>
      </c>
      <c r="T59">
        <v>1.8109999999999999</v>
      </c>
      <c r="U59">
        <v>28</v>
      </c>
      <c r="V59">
        <v>1.629</v>
      </c>
      <c r="W59">
        <v>1.627</v>
      </c>
      <c r="X59">
        <v>1.6259999999999999</v>
      </c>
      <c r="Y59">
        <v>1.659</v>
      </c>
    </row>
    <row r="60" spans="2:25" x14ac:dyDescent="0.4">
      <c r="B60">
        <v>29</v>
      </c>
      <c r="C60">
        <v>1.8720000000000001</v>
      </c>
      <c r="D60">
        <v>1.849</v>
      </c>
      <c r="E60">
        <v>1.7689999999999999</v>
      </c>
      <c r="F60">
        <v>1.712</v>
      </c>
      <c r="G60">
        <v>1.63</v>
      </c>
      <c r="H60">
        <v>29</v>
      </c>
      <c r="I60">
        <v>1.5369999999999999</v>
      </c>
      <c r="J60">
        <v>1.5369999999999999</v>
      </c>
      <c r="K60">
        <v>1.542</v>
      </c>
      <c r="L60">
        <v>1.5469999999999999</v>
      </c>
      <c r="O60">
        <v>29</v>
      </c>
      <c r="P60">
        <v>2.3330000000000002</v>
      </c>
      <c r="Q60">
        <v>2.2330000000000001</v>
      </c>
      <c r="R60">
        <v>2.0910000000000002</v>
      </c>
      <c r="S60">
        <v>2.0680000000000001</v>
      </c>
      <c r="T60">
        <v>1.8080000000000001</v>
      </c>
      <c r="U60">
        <v>29</v>
      </c>
      <c r="V60">
        <v>1.6259999999999999</v>
      </c>
      <c r="W60">
        <v>1.63</v>
      </c>
      <c r="X60">
        <v>1.613</v>
      </c>
      <c r="Y60">
        <v>1.669</v>
      </c>
    </row>
    <row r="61" spans="2:25" x14ac:dyDescent="0.4">
      <c r="B61">
        <v>29</v>
      </c>
      <c r="C61">
        <v>1.8720000000000001</v>
      </c>
      <c r="D61">
        <v>1.855</v>
      </c>
      <c r="E61">
        <v>1.7689999999999999</v>
      </c>
      <c r="F61">
        <v>1.712</v>
      </c>
      <c r="G61">
        <v>1.623</v>
      </c>
      <c r="H61">
        <v>29</v>
      </c>
      <c r="I61">
        <v>1.5369999999999999</v>
      </c>
      <c r="J61">
        <v>1.5369999999999999</v>
      </c>
      <c r="K61">
        <v>1.542</v>
      </c>
      <c r="L61">
        <v>1.5369999999999999</v>
      </c>
      <c r="O61">
        <v>29</v>
      </c>
      <c r="P61">
        <v>2.319</v>
      </c>
      <c r="Q61">
        <v>2.2269999999999999</v>
      </c>
      <c r="R61">
        <v>2.0910000000000002</v>
      </c>
      <c r="S61">
        <v>2.0680000000000001</v>
      </c>
      <c r="T61">
        <v>1.8080000000000001</v>
      </c>
      <c r="U61">
        <v>29</v>
      </c>
      <c r="V61">
        <v>1.6259999999999999</v>
      </c>
      <c r="W61">
        <v>1.63</v>
      </c>
      <c r="X61">
        <v>1.613</v>
      </c>
      <c r="Y61">
        <v>1.6659999999999999</v>
      </c>
    </row>
    <row r="62" spans="2:25" x14ac:dyDescent="0.4">
      <c r="B62">
        <v>30</v>
      </c>
      <c r="C62">
        <v>1.8859999999999999</v>
      </c>
      <c r="D62">
        <v>1.855</v>
      </c>
      <c r="E62">
        <v>1.7689999999999999</v>
      </c>
      <c r="F62">
        <v>1.712</v>
      </c>
      <c r="G62">
        <v>1.623</v>
      </c>
      <c r="H62">
        <v>30</v>
      </c>
      <c r="I62">
        <v>1.54</v>
      </c>
      <c r="J62">
        <v>1.54</v>
      </c>
      <c r="K62">
        <v>1.542</v>
      </c>
      <c r="L62">
        <v>1.5369999999999999</v>
      </c>
      <c r="O62">
        <v>30</v>
      </c>
      <c r="P62">
        <v>2.3330000000000002</v>
      </c>
      <c r="Q62">
        <v>2.2269999999999999</v>
      </c>
      <c r="R62">
        <v>2.0910000000000002</v>
      </c>
      <c r="S62">
        <v>2.0539999999999998</v>
      </c>
      <c r="T62">
        <v>1.798</v>
      </c>
      <c r="U62">
        <v>30</v>
      </c>
      <c r="V62">
        <v>1.613</v>
      </c>
      <c r="W62">
        <v>1.63</v>
      </c>
      <c r="X62">
        <v>1.6160000000000001</v>
      </c>
      <c r="Y62">
        <v>1.669</v>
      </c>
    </row>
    <row r="63" spans="2:25" x14ac:dyDescent="0.4">
      <c r="B63">
        <v>30</v>
      </c>
      <c r="C63">
        <v>1.8859999999999999</v>
      </c>
      <c r="D63">
        <v>1.855</v>
      </c>
      <c r="E63">
        <v>1.766</v>
      </c>
      <c r="F63">
        <v>1.712</v>
      </c>
      <c r="G63">
        <v>1.633</v>
      </c>
      <c r="H63">
        <v>30</v>
      </c>
      <c r="I63">
        <v>1.54</v>
      </c>
      <c r="J63">
        <v>1.54</v>
      </c>
      <c r="K63">
        <v>1.532</v>
      </c>
      <c r="L63">
        <v>1.5369999999999999</v>
      </c>
      <c r="O63">
        <v>30</v>
      </c>
      <c r="P63">
        <v>2.3290000000000002</v>
      </c>
      <c r="Q63">
        <v>2.2229999999999999</v>
      </c>
      <c r="R63">
        <v>2.081</v>
      </c>
      <c r="S63">
        <v>2.0539999999999998</v>
      </c>
      <c r="T63">
        <v>1.798</v>
      </c>
      <c r="U63">
        <v>30</v>
      </c>
      <c r="V63">
        <v>1.613</v>
      </c>
      <c r="W63">
        <v>1.63</v>
      </c>
      <c r="X63">
        <v>1.6259999999999999</v>
      </c>
      <c r="Y63">
        <v>1.6659999999999999</v>
      </c>
    </row>
    <row r="64" spans="2:25" x14ac:dyDescent="0.4">
      <c r="C64">
        <f t="shared" ref="C64:G64" si="0">AVERAGE(C2:C63)</f>
        <v>1.885</v>
      </c>
      <c r="D64">
        <f t="shared" si="0"/>
        <v>1.8492741935483872</v>
      </c>
      <c r="E64">
        <f t="shared" si="0"/>
        <v>1.7670483870967757</v>
      </c>
      <c r="F64">
        <f t="shared" si="0"/>
        <v>1.7039193548387102</v>
      </c>
      <c r="G64">
        <f t="shared" si="0"/>
        <v>1.6343709677419351</v>
      </c>
      <c r="I64">
        <f>AVERAGE(I2:I63)</f>
        <v>1.5348870967741945</v>
      </c>
      <c r="J64">
        <f t="shared" ref="J64:Y64" si="1">AVERAGE(J2:J63)</f>
        <v>1.5388209677419364</v>
      </c>
      <c r="K64">
        <f t="shared" si="1"/>
        <v>1.5350645161290313</v>
      </c>
      <c r="L64">
        <f t="shared" si="1"/>
        <v>1.5384838709677424</v>
      </c>
      <c r="P64">
        <f t="shared" si="1"/>
        <v>2.3286935483870961</v>
      </c>
      <c r="Q64">
        <f t="shared" si="1"/>
        <v>2.2266935483870971</v>
      </c>
      <c r="R64">
        <f t="shared" si="1"/>
        <v>2.0861935483870964</v>
      </c>
      <c r="S64">
        <f t="shared" si="1"/>
        <v>2.0621774193548377</v>
      </c>
      <c r="T64">
        <f t="shared" si="1"/>
        <v>1.8033225806451634</v>
      </c>
      <c r="V64">
        <f t="shared" si="1"/>
        <v>1.6230967741935489</v>
      </c>
      <c r="W64">
        <f t="shared" si="1"/>
        <v>1.6256129032258058</v>
      </c>
      <c r="X64">
        <f t="shared" si="1"/>
        <v>1.6237096774193553</v>
      </c>
      <c r="Y64">
        <f t="shared" si="1"/>
        <v>1.6637258064516123</v>
      </c>
    </row>
    <row r="69" spans="1:14" x14ac:dyDescent="0.4">
      <c r="A69" t="s">
        <v>67</v>
      </c>
    </row>
    <row r="70" spans="1:14" x14ac:dyDescent="0.4">
      <c r="B70" s="2" t="s">
        <v>66</v>
      </c>
    </row>
    <row r="71" spans="1:14" x14ac:dyDescent="0.4">
      <c r="B71" t="s">
        <v>52</v>
      </c>
      <c r="D71" s="42" t="s">
        <v>21</v>
      </c>
      <c r="E71" s="42"/>
      <c r="F71" s="42" t="s">
        <v>22</v>
      </c>
      <c r="G71" s="42"/>
      <c r="K71" s="42" t="s">
        <v>21</v>
      </c>
      <c r="L71" s="42"/>
      <c r="M71" s="42" t="s">
        <v>22</v>
      </c>
      <c r="N71" s="42"/>
    </row>
    <row r="72" spans="1:14" x14ac:dyDescent="0.4">
      <c r="D72" s="9" t="s">
        <v>44</v>
      </c>
      <c r="E72" s="9" t="s">
        <v>45</v>
      </c>
      <c r="F72" s="9" t="s">
        <v>44</v>
      </c>
      <c r="G72" s="9" t="s">
        <v>45</v>
      </c>
      <c r="K72" s="9" t="s">
        <v>44</v>
      </c>
      <c r="L72" s="9" t="s">
        <v>45</v>
      </c>
      <c r="M72" s="9" t="s">
        <v>44</v>
      </c>
      <c r="N72" s="9" t="s">
        <v>45</v>
      </c>
    </row>
    <row r="73" spans="1:14" x14ac:dyDescent="0.4">
      <c r="C73" t="s">
        <v>13</v>
      </c>
      <c r="D73" s="7">
        <f>TEG_Syncronous_Pipeline_回路規模!$I$3</f>
        <v>30884</v>
      </c>
      <c r="E73">
        <f>C64</f>
        <v>1.885</v>
      </c>
      <c r="F73" s="7">
        <f>TEG_Syncronous_Pipeline_回路規模!$I$3</f>
        <v>30884</v>
      </c>
      <c r="G73">
        <f>P64</f>
        <v>2.3286935483870961</v>
      </c>
      <c r="J73" t="s">
        <v>68</v>
      </c>
      <c r="K73" s="3">
        <f>D73-D74</f>
        <v>7988</v>
      </c>
      <c r="L73">
        <f>$E$73-$E$74</f>
        <v>3.5725806451612829E-2</v>
      </c>
      <c r="M73" s="3">
        <f>F73-F74</f>
        <v>7988</v>
      </c>
      <c r="N73">
        <f>$G$73-$G$74</f>
        <v>0.10199999999999898</v>
      </c>
    </row>
    <row r="74" spans="1:14" x14ac:dyDescent="0.4">
      <c r="C74" t="s">
        <v>14</v>
      </c>
      <c r="D74" s="7">
        <f>TEG_Syncronous_Pipeline_回路規模!$I$4</f>
        <v>22896</v>
      </c>
      <c r="E74">
        <f>D64</f>
        <v>1.8492741935483872</v>
      </c>
      <c r="F74" s="7">
        <f>TEG_Syncronous_Pipeline_回路規模!$I$4</f>
        <v>22896</v>
      </c>
      <c r="G74">
        <f>Q64</f>
        <v>2.2266935483870971</v>
      </c>
      <c r="J74" t="s">
        <v>49</v>
      </c>
      <c r="K74" s="3">
        <f>D73-D75</f>
        <v>15556</v>
      </c>
      <c r="L74">
        <f>$E$73-$E$75</f>
        <v>0.11795161290322431</v>
      </c>
      <c r="M74" s="3">
        <f>F73-F75</f>
        <v>15556</v>
      </c>
      <c r="N74">
        <f>$G$73-$G$75</f>
        <v>0.24249999999999972</v>
      </c>
    </row>
    <row r="75" spans="1:14" x14ac:dyDescent="0.4">
      <c r="C75" t="s">
        <v>62</v>
      </c>
      <c r="D75" s="7">
        <f>TEG_Syncronous_Pipeline_回路規模!$I$5</f>
        <v>15328</v>
      </c>
      <c r="E75">
        <f>E64</f>
        <v>1.7670483870967757</v>
      </c>
      <c r="F75" s="7">
        <f>TEG_Syncronous_Pipeline_回路規模!$I$5</f>
        <v>15328</v>
      </c>
      <c r="G75">
        <f>R64</f>
        <v>2.0861935483870964</v>
      </c>
      <c r="J75" t="s">
        <v>50</v>
      </c>
      <c r="K75" s="3">
        <f>D73-D76</f>
        <v>23054</v>
      </c>
      <c r="L75">
        <f>$E$73-$E$76</f>
        <v>0.18108064516128985</v>
      </c>
      <c r="M75" s="3">
        <f>F73-F76</f>
        <v>23054</v>
      </c>
      <c r="N75">
        <f>$G$73-$G$76</f>
        <v>0.26651612903225841</v>
      </c>
    </row>
    <row r="76" spans="1:14" x14ac:dyDescent="0.4">
      <c r="C76" t="s">
        <v>63</v>
      </c>
      <c r="D76" s="8">
        <f>TEG_Syncronous_Pipeline_回路規模!$I$6</f>
        <v>7830</v>
      </c>
      <c r="E76">
        <f>F64</f>
        <v>1.7039193548387102</v>
      </c>
      <c r="F76" s="8">
        <f>TEG_Syncronous_Pipeline_回路規模!$I$6</f>
        <v>7830</v>
      </c>
      <c r="G76">
        <f>S64</f>
        <v>2.0621774193548377</v>
      </c>
      <c r="J76" t="s">
        <v>69</v>
      </c>
      <c r="K76" s="3">
        <f>D74-D75</f>
        <v>7568</v>
      </c>
      <c r="L76">
        <f>$E$74-$E$75</f>
        <v>8.2225806451611483E-2</v>
      </c>
      <c r="M76" s="3">
        <f>F74-F75</f>
        <v>7568</v>
      </c>
      <c r="N76">
        <f>$G$74-$G$75</f>
        <v>0.14050000000000074</v>
      </c>
    </row>
    <row r="77" spans="1:14" x14ac:dyDescent="0.4">
      <c r="J77" t="s">
        <v>70</v>
      </c>
      <c r="K77" s="3">
        <f>D74-D76</f>
        <v>15066</v>
      </c>
      <c r="L77">
        <f>$E$74-$E$76</f>
        <v>0.14535483870967703</v>
      </c>
      <c r="M77" s="3">
        <f>F74-F76</f>
        <v>15066</v>
      </c>
      <c r="N77">
        <f>$G$74-$G$76</f>
        <v>0.16451612903225943</v>
      </c>
    </row>
    <row r="78" spans="1:14" x14ac:dyDescent="0.4">
      <c r="J78" t="s">
        <v>51</v>
      </c>
      <c r="K78" s="3">
        <f>D75-D76</f>
        <v>7498</v>
      </c>
      <c r="L78">
        <f>$E$75-$E$76</f>
        <v>6.3129032258065543E-2</v>
      </c>
      <c r="M78" s="3">
        <f>F75-F76</f>
        <v>7498</v>
      </c>
      <c r="N78">
        <f>$G$75-$G$76</f>
        <v>2.4016129032258693E-2</v>
      </c>
    </row>
    <row r="84" spans="1:13" x14ac:dyDescent="0.4">
      <c r="A84" t="s">
        <v>71</v>
      </c>
    </row>
    <row r="85" spans="1:13" x14ac:dyDescent="0.4">
      <c r="B85" s="2" t="s">
        <v>104</v>
      </c>
    </row>
    <row r="86" spans="1:13" x14ac:dyDescent="0.4">
      <c r="B86" t="s">
        <v>52</v>
      </c>
      <c r="D86" s="42" t="s">
        <v>21</v>
      </c>
      <c r="E86" s="42"/>
      <c r="F86" s="42" t="s">
        <v>22</v>
      </c>
      <c r="G86" s="42"/>
      <c r="J86" s="42" t="s">
        <v>21</v>
      </c>
      <c r="K86" s="42"/>
      <c r="L86" s="42" t="s">
        <v>22</v>
      </c>
      <c r="M86" s="42"/>
    </row>
    <row r="87" spans="1:13" x14ac:dyDescent="0.4">
      <c r="D87" s="9" t="s">
        <v>44</v>
      </c>
      <c r="E87" s="9" t="s">
        <v>45</v>
      </c>
      <c r="F87" s="9" t="s">
        <v>44</v>
      </c>
      <c r="G87" s="9" t="s">
        <v>45</v>
      </c>
      <c r="J87" s="9" t="s">
        <v>44</v>
      </c>
      <c r="K87" s="9" t="s">
        <v>45</v>
      </c>
      <c r="L87" s="9" t="s">
        <v>44</v>
      </c>
      <c r="M87" s="9" t="s">
        <v>45</v>
      </c>
    </row>
    <row r="88" spans="1:13" x14ac:dyDescent="0.4">
      <c r="C88" t="s">
        <v>13</v>
      </c>
      <c r="D88" s="7">
        <f>TEG_Syncronous_Pipeline_回路規模!$I$3</f>
        <v>30884</v>
      </c>
      <c r="E88">
        <f>C64-I64</f>
        <v>0.35011290322580546</v>
      </c>
      <c r="F88" s="7">
        <f>TEG_Syncronous_Pipeline_回路規模!$I$3</f>
        <v>30884</v>
      </c>
      <c r="G88">
        <f>P64-V64</f>
        <v>0.70559677419354716</v>
      </c>
      <c r="I88" t="s">
        <v>68</v>
      </c>
      <c r="J88" s="3">
        <f>$D$88-$D$89</f>
        <v>7988</v>
      </c>
      <c r="K88">
        <f>$E$88-$E$89</f>
        <v>3.9659677419354722E-2</v>
      </c>
      <c r="L88" s="3">
        <f>F88-F89</f>
        <v>7988</v>
      </c>
      <c r="M88">
        <f>$G$88-$G$89</f>
        <v>0.10451612903225582</v>
      </c>
    </row>
    <row r="89" spans="1:13" x14ac:dyDescent="0.4">
      <c r="C89" t="s">
        <v>14</v>
      </c>
      <c r="D89" s="7">
        <f>TEG_Syncronous_Pipeline_回路規模!$I$4</f>
        <v>22896</v>
      </c>
      <c r="E89">
        <f>D64-J64</f>
        <v>0.31045322580645074</v>
      </c>
      <c r="F89" s="7">
        <f>TEG_Syncronous_Pipeline_回路規模!$I$4</f>
        <v>22896</v>
      </c>
      <c r="G89">
        <f>Q64-W64</f>
        <v>0.60108064516129134</v>
      </c>
      <c r="I89" t="s">
        <v>49</v>
      </c>
      <c r="J89" s="3">
        <f>$D$88-$D$90</f>
        <v>15556</v>
      </c>
      <c r="K89">
        <f>$E$88-$E$90</f>
        <v>0.11812903225806104</v>
      </c>
      <c r="L89" s="3">
        <f>F88-F90</f>
        <v>15556</v>
      </c>
      <c r="M89">
        <f>$G$88-$G$90</f>
        <v>0.24311290322580614</v>
      </c>
    </row>
    <row r="90" spans="1:13" x14ac:dyDescent="0.4">
      <c r="C90" t="s">
        <v>62</v>
      </c>
      <c r="D90" s="7">
        <f>TEG_Syncronous_Pipeline_回路規模!$I$5</f>
        <v>15328</v>
      </c>
      <c r="E90">
        <f>E64-K64</f>
        <v>0.23198387096774442</v>
      </c>
      <c r="F90" s="7">
        <f>TEG_Syncronous_Pipeline_回路規模!$I$5</f>
        <v>15328</v>
      </c>
      <c r="G90">
        <f>R64-X64</f>
        <v>0.46248387096774102</v>
      </c>
      <c r="I90" t="s">
        <v>50</v>
      </c>
      <c r="J90" s="3">
        <f>$D$88-$D$91</f>
        <v>23054</v>
      </c>
      <c r="K90">
        <f>$E$88-$E$91</f>
        <v>0.18467741935483772</v>
      </c>
      <c r="L90" s="3">
        <f>F88-F91</f>
        <v>23054</v>
      </c>
      <c r="M90">
        <f>$G$88-$G$91</f>
        <v>0.30714516129032177</v>
      </c>
    </row>
    <row r="91" spans="1:13" x14ac:dyDescent="0.4">
      <c r="C91" t="s">
        <v>63</v>
      </c>
      <c r="D91" s="8">
        <f>TEG_Syncronous_Pipeline_回路規模!$I$6</f>
        <v>7830</v>
      </c>
      <c r="E91">
        <f>F64-L64</f>
        <v>0.16543548387096774</v>
      </c>
      <c r="F91" s="8">
        <f>TEG_Syncronous_Pipeline_回路規模!$I$6</f>
        <v>7830</v>
      </c>
      <c r="G91">
        <f>S64-Y64</f>
        <v>0.39845161290322539</v>
      </c>
      <c r="I91" t="s">
        <v>69</v>
      </c>
      <c r="J91" s="3">
        <f>$D$89-$D$90</f>
        <v>7568</v>
      </c>
      <c r="K91">
        <f>$E$89-$E$90</f>
        <v>7.8469354838706318E-2</v>
      </c>
      <c r="L91" s="3">
        <f>F89-F90</f>
        <v>7568</v>
      </c>
      <c r="M91">
        <f>$G$89-$G$90</f>
        <v>0.13859677419355032</v>
      </c>
    </row>
    <row r="92" spans="1:13" x14ac:dyDescent="0.4">
      <c r="I92" t="s">
        <v>70</v>
      </c>
      <c r="J92" s="3">
        <f>$D$89-$D$91</f>
        <v>15066</v>
      </c>
      <c r="K92">
        <f>$E$89-$E$91</f>
        <v>0.145017741935483</v>
      </c>
      <c r="L92" s="3">
        <f>F89-F91</f>
        <v>15066</v>
      </c>
      <c r="M92">
        <f>$G$89-$G$91</f>
        <v>0.20262903225806594</v>
      </c>
    </row>
    <row r="93" spans="1:13" x14ac:dyDescent="0.4">
      <c r="I93" t="s">
        <v>51</v>
      </c>
      <c r="J93" s="3">
        <f>$D$90-$D$91</f>
        <v>7498</v>
      </c>
      <c r="K93">
        <f>$E$90-$E$91</f>
        <v>6.6548387096776684E-2</v>
      </c>
      <c r="L93" s="3">
        <f>F90-F91</f>
        <v>7498</v>
      </c>
      <c r="M93">
        <f>$G$90-$G$91</f>
        <v>6.4032258064515624E-2</v>
      </c>
    </row>
    <row r="100" spans="1:39" x14ac:dyDescent="0.4">
      <c r="A100" t="s">
        <v>84</v>
      </c>
      <c r="B100" t="s">
        <v>106</v>
      </c>
      <c r="P100" t="s">
        <v>87</v>
      </c>
    </row>
    <row r="101" spans="1:39" x14ac:dyDescent="0.4">
      <c r="B101" t="s">
        <v>105</v>
      </c>
      <c r="C101" t="s">
        <v>85</v>
      </c>
      <c r="D101" t="s">
        <v>86</v>
      </c>
      <c r="E101" s="5" t="s">
        <v>85</v>
      </c>
      <c r="F101" t="s">
        <v>86</v>
      </c>
      <c r="R101" t="s">
        <v>88</v>
      </c>
      <c r="V101" t="s">
        <v>89</v>
      </c>
      <c r="AH101" t="s">
        <v>88</v>
      </c>
      <c r="AK101" t="s">
        <v>89</v>
      </c>
    </row>
    <row r="102" spans="1:39" x14ac:dyDescent="0.4">
      <c r="B102" t="s">
        <v>108</v>
      </c>
      <c r="E102">
        <v>0.85299999999999998</v>
      </c>
      <c r="F102">
        <v>1.262</v>
      </c>
      <c r="J102" s="42" t="s">
        <v>21</v>
      </c>
      <c r="K102" s="42"/>
      <c r="L102" s="42" t="s">
        <v>22</v>
      </c>
      <c r="M102" s="42"/>
      <c r="Q102" t="s">
        <v>44</v>
      </c>
      <c r="R102" t="s">
        <v>81</v>
      </c>
      <c r="S102" t="s">
        <v>82</v>
      </c>
      <c r="T102" t="s">
        <v>83</v>
      </c>
      <c r="U102" t="s">
        <v>90</v>
      </c>
      <c r="V102" t="s">
        <v>81</v>
      </c>
      <c r="W102" t="s">
        <v>82</v>
      </c>
      <c r="X102" t="s">
        <v>83</v>
      </c>
      <c r="AG102" t="s">
        <v>44</v>
      </c>
      <c r="AH102" t="s">
        <v>81</v>
      </c>
      <c r="AI102" t="s">
        <v>82</v>
      </c>
      <c r="AJ102" t="s">
        <v>83</v>
      </c>
      <c r="AK102" t="s">
        <v>81</v>
      </c>
      <c r="AL102" t="s">
        <v>82</v>
      </c>
      <c r="AM102" t="s">
        <v>83</v>
      </c>
    </row>
    <row r="103" spans="1:39" x14ac:dyDescent="0.4">
      <c r="B103" t="s">
        <v>30</v>
      </c>
      <c r="C103">
        <v>0.47899999999999998</v>
      </c>
      <c r="D103">
        <v>0.88700000000000001</v>
      </c>
      <c r="E103" s="5">
        <v>0.58099999999999996</v>
      </c>
      <c r="F103" s="5">
        <v>1.099</v>
      </c>
      <c r="J103" s="10" t="s">
        <v>44</v>
      </c>
      <c r="K103" s="10" t="s">
        <v>45</v>
      </c>
      <c r="L103" s="10" t="s">
        <v>44</v>
      </c>
      <c r="M103" s="10" t="s">
        <v>45</v>
      </c>
      <c r="P103" t="s">
        <v>68</v>
      </c>
      <c r="Q103" s="3">
        <f>$D$88-$D$89</f>
        <v>7988</v>
      </c>
      <c r="R103">
        <f>$E$73-$E$74</f>
        <v>3.5725806451612829E-2</v>
      </c>
      <c r="S103">
        <f>$E$88-$E$89</f>
        <v>3.9659677419354722E-2</v>
      </c>
      <c r="T103">
        <f>$C$103-$C$104</f>
        <v>2.2999999999999965E-2</v>
      </c>
      <c r="U103" s="3">
        <f>$D$88-$D$89</f>
        <v>7988</v>
      </c>
      <c r="V103">
        <f>$G$73-$G$74</f>
        <v>0.10199999999999898</v>
      </c>
      <c r="W103">
        <f>$G$88-$G$89</f>
        <v>0.10451612903225582</v>
      </c>
      <c r="X103">
        <f>$D$103-$D$104</f>
        <v>7.4999999999999956E-2</v>
      </c>
      <c r="AG103" s="3">
        <f>$D$88-$D$89</f>
        <v>7988</v>
      </c>
      <c r="AH103">
        <f>$E$73-$E$74</f>
        <v>3.5725806451612829E-2</v>
      </c>
      <c r="AI103">
        <f>$E$88-$E$89</f>
        <v>3.9659677419354722E-2</v>
      </c>
      <c r="AJ103">
        <f>$C$103-$C$104</f>
        <v>2.2999999999999965E-2</v>
      </c>
      <c r="AK103">
        <f>$G$73-$G$74</f>
        <v>0.10199999999999898</v>
      </c>
      <c r="AL103">
        <f>$G$88-$G$89</f>
        <v>0.10451612903225582</v>
      </c>
      <c r="AM103">
        <f>$D$103-$D$104</f>
        <v>7.4999999999999956E-2</v>
      </c>
    </row>
    <row r="104" spans="1:39" x14ac:dyDescent="0.4">
      <c r="B104" t="s">
        <v>31</v>
      </c>
      <c r="C104">
        <v>0.45600000000000002</v>
      </c>
      <c r="D104">
        <v>0.81200000000000006</v>
      </c>
      <c r="E104" s="5">
        <v>0.53300000000000003</v>
      </c>
      <c r="F104" s="5">
        <v>0.97199999999999998</v>
      </c>
      <c r="I104" t="s">
        <v>68</v>
      </c>
      <c r="J104" s="3">
        <f>$D$88-$D$89</f>
        <v>7988</v>
      </c>
      <c r="K104">
        <f>$C$103-$C$104</f>
        <v>2.2999999999999965E-2</v>
      </c>
      <c r="L104" s="3">
        <f>$D$88-$D$89</f>
        <v>7988</v>
      </c>
      <c r="M104">
        <f>$D$103-$D$104</f>
        <v>7.4999999999999956E-2</v>
      </c>
      <c r="P104" t="s">
        <v>49</v>
      </c>
      <c r="Q104" s="3">
        <f>$D$88-$D$90</f>
        <v>15556</v>
      </c>
      <c r="R104">
        <f>$E$73-$E$75</f>
        <v>0.11795161290322431</v>
      </c>
      <c r="S104">
        <f>$E$88-$E$90</f>
        <v>0.11812903225806104</v>
      </c>
      <c r="T104">
        <f>$C$103-$C$105</f>
        <v>0.10599999999999998</v>
      </c>
      <c r="U104" s="3">
        <f>$D$88-$D$90</f>
        <v>15556</v>
      </c>
      <c r="V104">
        <f>$G$73-$G$75</f>
        <v>0.24249999999999972</v>
      </c>
      <c r="W104">
        <f>$G$88-$G$90</f>
        <v>0.24311290322580614</v>
      </c>
      <c r="X104">
        <f>$D$103-$D$105</f>
        <v>0.22099999999999997</v>
      </c>
      <c r="AG104" s="3">
        <f>$D$88-$D$90</f>
        <v>15556</v>
      </c>
      <c r="AH104">
        <f>$E$73-$E$75</f>
        <v>0.11795161290322431</v>
      </c>
      <c r="AI104">
        <f>$E$88-$E$90</f>
        <v>0.11812903225806104</v>
      </c>
      <c r="AJ104">
        <f>$C$103-$C$105</f>
        <v>0.10599999999999998</v>
      </c>
      <c r="AK104">
        <f>$G$73-$G$75</f>
        <v>0.24249999999999972</v>
      </c>
      <c r="AL104">
        <f>$G$88-$G$90</f>
        <v>0.24311290322580614</v>
      </c>
      <c r="AM104">
        <f>$D$103-$D$105</f>
        <v>0.22099999999999997</v>
      </c>
    </row>
    <row r="105" spans="1:39" x14ac:dyDescent="0.4">
      <c r="B105" t="s">
        <v>15</v>
      </c>
      <c r="C105">
        <v>0.373</v>
      </c>
      <c r="D105">
        <v>0.66600000000000004</v>
      </c>
      <c r="E105" s="5">
        <v>0.42499999999999999</v>
      </c>
      <c r="F105" s="5">
        <v>0.77700000000000002</v>
      </c>
      <c r="I105" t="s">
        <v>49</v>
      </c>
      <c r="J105" s="3">
        <f>$D$88-$D$90</f>
        <v>15556</v>
      </c>
      <c r="K105">
        <f>$C$103-$C$105</f>
        <v>0.10599999999999998</v>
      </c>
      <c r="L105" s="3">
        <f>$D$88-$D$90</f>
        <v>15556</v>
      </c>
      <c r="M105">
        <f>$D$103-$D$105</f>
        <v>0.22099999999999997</v>
      </c>
      <c r="P105" t="s">
        <v>50</v>
      </c>
      <c r="Q105" s="3">
        <f>$D$88-$D$91</f>
        <v>23054</v>
      </c>
      <c r="R105">
        <f>$E$73-$E$76</f>
        <v>0.18108064516128985</v>
      </c>
      <c r="S105">
        <f>$E$88-$E$91</f>
        <v>0.18467741935483772</v>
      </c>
      <c r="T105">
        <f>$C$103-$C$106</f>
        <v>0.16299999999999998</v>
      </c>
      <c r="U105" s="3">
        <f>$D$88-$D$91</f>
        <v>23054</v>
      </c>
      <c r="V105">
        <f>$G$73-$G$76</f>
        <v>0.26651612903225841</v>
      </c>
      <c r="W105">
        <f>$G$88-$G$91</f>
        <v>0.30714516129032177</v>
      </c>
      <c r="X105">
        <f>$D$103-$D$106</f>
        <v>0.33399999999999996</v>
      </c>
      <c r="AG105" s="3">
        <f>$D$88-$D$91</f>
        <v>23054</v>
      </c>
      <c r="AH105">
        <f>$E$73-$E$76</f>
        <v>0.18108064516128985</v>
      </c>
      <c r="AI105">
        <f>$E$88-$E$91</f>
        <v>0.18467741935483772</v>
      </c>
      <c r="AJ105">
        <f>$C$103-$C$106</f>
        <v>0.16299999999999998</v>
      </c>
      <c r="AK105">
        <f>$G$73-$G$76</f>
        <v>0.26651612903225841</v>
      </c>
      <c r="AL105">
        <f>$G$88-$G$91</f>
        <v>0.30714516129032177</v>
      </c>
      <c r="AM105">
        <f>$D$103-$D$106</f>
        <v>0.33399999999999996</v>
      </c>
    </row>
    <row r="106" spans="1:39" x14ac:dyDescent="0.4">
      <c r="B106" t="s">
        <v>16</v>
      </c>
      <c r="C106">
        <v>0.316</v>
      </c>
      <c r="D106">
        <v>0.55300000000000005</v>
      </c>
      <c r="E106" s="5">
        <v>0.35799999999999998</v>
      </c>
      <c r="F106" s="5">
        <v>0.621</v>
      </c>
      <c r="I106" t="s">
        <v>50</v>
      </c>
      <c r="J106" s="3">
        <f>$D$88-$D$91</f>
        <v>23054</v>
      </c>
      <c r="K106">
        <f>$C$103-$C$106</f>
        <v>0.16299999999999998</v>
      </c>
      <c r="L106" s="3">
        <f>$D$88-$D$91</f>
        <v>23054</v>
      </c>
      <c r="M106">
        <f>$D$103-$D$106</f>
        <v>0.33399999999999996</v>
      </c>
      <c r="P106" t="s">
        <v>69</v>
      </c>
      <c r="Q106" s="3">
        <f>$D$89-$D$90</f>
        <v>7568</v>
      </c>
      <c r="R106">
        <f>$E$74-$E$75</f>
        <v>8.2225806451611483E-2</v>
      </c>
      <c r="S106">
        <f>$E$89-$E$90</f>
        <v>7.8469354838706318E-2</v>
      </c>
      <c r="T106">
        <f>$C$104-$C$105</f>
        <v>8.3000000000000018E-2</v>
      </c>
      <c r="U106" s="3">
        <f>$D$89-$D$90</f>
        <v>7568</v>
      </c>
      <c r="V106">
        <f>$G$74-$G$75</f>
        <v>0.14050000000000074</v>
      </c>
      <c r="W106">
        <f>$G$89-$G$90</f>
        <v>0.13859677419355032</v>
      </c>
      <c r="X106">
        <f>$D$104-$D$105</f>
        <v>0.14600000000000002</v>
      </c>
      <c r="AG106" s="3">
        <f>$D$89-$D$90</f>
        <v>7568</v>
      </c>
      <c r="AH106">
        <f>$E$74-$E$75</f>
        <v>8.2225806451611483E-2</v>
      </c>
      <c r="AI106">
        <f>$E$89-$E$90</f>
        <v>7.8469354838706318E-2</v>
      </c>
      <c r="AJ106">
        <f>$C$104-$C$105</f>
        <v>8.3000000000000018E-2</v>
      </c>
      <c r="AK106">
        <f>$G$74-$G$75</f>
        <v>0.14050000000000074</v>
      </c>
      <c r="AL106">
        <f>$G$89-$G$90</f>
        <v>0.13859677419355032</v>
      </c>
      <c r="AM106">
        <f>$D$104-$D$105</f>
        <v>0.14600000000000002</v>
      </c>
    </row>
    <row r="107" spans="1:39" x14ac:dyDescent="0.4">
      <c r="I107" t="s">
        <v>69</v>
      </c>
      <c r="J107" s="3">
        <f>$D$89-$D$90</f>
        <v>7568</v>
      </c>
      <c r="K107">
        <f>$C$104-$C$105</f>
        <v>8.3000000000000018E-2</v>
      </c>
      <c r="L107" s="3">
        <f>$D$89-$D$90</f>
        <v>7568</v>
      </c>
      <c r="M107">
        <f>$D$104-$D$105</f>
        <v>0.14600000000000002</v>
      </c>
      <c r="P107" t="s">
        <v>70</v>
      </c>
      <c r="Q107" s="3">
        <f>$D$89-$D$91</f>
        <v>15066</v>
      </c>
      <c r="R107">
        <f>$E$74-$E$76</f>
        <v>0.14535483870967703</v>
      </c>
      <c r="S107">
        <f>$E$89-$E$91</f>
        <v>0.145017741935483</v>
      </c>
      <c r="T107">
        <f>$C$104-$C$106</f>
        <v>0.14000000000000001</v>
      </c>
      <c r="U107" s="3">
        <f>$D$89-$D$91</f>
        <v>15066</v>
      </c>
      <c r="V107">
        <f>$G$74-$G$76</f>
        <v>0.16451612903225943</v>
      </c>
      <c r="W107">
        <f>$G$89-$G$91</f>
        <v>0.20262903225806594</v>
      </c>
      <c r="X107">
        <f>$D$104-$D$106</f>
        <v>0.25900000000000001</v>
      </c>
      <c r="AG107" s="3">
        <f>$D$89-$D$91</f>
        <v>15066</v>
      </c>
      <c r="AH107">
        <f>$E$74-$E$76</f>
        <v>0.14535483870967703</v>
      </c>
      <c r="AI107">
        <f>$E$89-$E$91</f>
        <v>0.145017741935483</v>
      </c>
      <c r="AJ107">
        <f>$C$104-$C$106</f>
        <v>0.14000000000000001</v>
      </c>
      <c r="AK107">
        <f>$G$74-$G$76</f>
        <v>0.16451612903225943</v>
      </c>
      <c r="AL107">
        <f>$G$89-$G$91</f>
        <v>0.20262903225806594</v>
      </c>
      <c r="AM107">
        <f>$D$104-$D$106</f>
        <v>0.25900000000000001</v>
      </c>
    </row>
    <row r="108" spans="1:39" x14ac:dyDescent="0.4">
      <c r="I108" t="s">
        <v>70</v>
      </c>
      <c r="J108" s="3">
        <f>$D$89-$D$91</f>
        <v>15066</v>
      </c>
      <c r="K108">
        <f>$C$104-$C$106</f>
        <v>0.14000000000000001</v>
      </c>
      <c r="L108" s="3">
        <f>$D$89-$D$91</f>
        <v>15066</v>
      </c>
      <c r="M108">
        <f>$D$104-$D$106</f>
        <v>0.25900000000000001</v>
      </c>
      <c r="P108" t="s">
        <v>51</v>
      </c>
      <c r="Q108" s="3">
        <f>$D$90-$D$91</f>
        <v>7498</v>
      </c>
      <c r="R108">
        <f>$E$75-$E$76</f>
        <v>6.3129032258065543E-2</v>
      </c>
      <c r="S108">
        <f>$E$90-$E$91</f>
        <v>6.6548387096776684E-2</v>
      </c>
      <c r="T108">
        <f>$C$105-$C$106</f>
        <v>5.6999999999999995E-2</v>
      </c>
      <c r="U108" s="3">
        <f>$D$90-$D$91</f>
        <v>7498</v>
      </c>
      <c r="V108">
        <f>$G$75-$G$76</f>
        <v>2.4016129032258693E-2</v>
      </c>
      <c r="W108">
        <f>$G$90-$G$91</f>
        <v>6.4032258064515624E-2</v>
      </c>
      <c r="X108">
        <f>$D$105-$D$106</f>
        <v>0.11299999999999999</v>
      </c>
      <c r="AG108" s="3">
        <f>$D$90-$D$91</f>
        <v>7498</v>
      </c>
      <c r="AH108">
        <f>$E$75-$E$76</f>
        <v>6.3129032258065543E-2</v>
      </c>
      <c r="AI108">
        <f>$E$90-$E$91</f>
        <v>6.6548387096776684E-2</v>
      </c>
      <c r="AJ108">
        <f>$C$105-$C$106</f>
        <v>5.6999999999999995E-2</v>
      </c>
      <c r="AK108">
        <f>$G$75-$G$76</f>
        <v>2.4016129032258693E-2</v>
      </c>
      <c r="AL108">
        <f>$G$90-$G$91</f>
        <v>6.4032258064515624E-2</v>
      </c>
      <c r="AM108">
        <f>$D$105-$D$106</f>
        <v>0.11299999999999999</v>
      </c>
    </row>
    <row r="109" spans="1:39" x14ac:dyDescent="0.4">
      <c r="I109" t="s">
        <v>51</v>
      </c>
      <c r="J109" s="3">
        <f>$D$90-$D$91</f>
        <v>7498</v>
      </c>
      <c r="K109">
        <f>$C$105-$C$106</f>
        <v>5.6999999999999995E-2</v>
      </c>
      <c r="L109" s="3">
        <f>$D$90-$D$91</f>
        <v>7498</v>
      </c>
      <c r="M109">
        <f>$D$105-$D$106</f>
        <v>0.11299999999999999</v>
      </c>
      <c r="Q109" s="3"/>
    </row>
    <row r="110" spans="1:39" x14ac:dyDescent="0.4">
      <c r="Q110" s="3"/>
    </row>
    <row r="111" spans="1:39" x14ac:dyDescent="0.4">
      <c r="Q111" s="3"/>
    </row>
    <row r="112" spans="1:39" x14ac:dyDescent="0.4">
      <c r="Q112" s="3"/>
    </row>
    <row r="113" spans="17:17" x14ac:dyDescent="0.4">
      <c r="Q113" s="3"/>
    </row>
    <row r="114" spans="17:17" x14ac:dyDescent="0.4">
      <c r="Q114" s="3"/>
    </row>
    <row r="115" spans="17:17" x14ac:dyDescent="0.4">
      <c r="Q115" s="3"/>
    </row>
    <row r="116" spans="17:17" x14ac:dyDescent="0.4">
      <c r="Q116" s="3"/>
    </row>
    <row r="117" spans="17:17" x14ac:dyDescent="0.4">
      <c r="Q117" s="3"/>
    </row>
    <row r="130" spans="1:10" x14ac:dyDescent="0.4">
      <c r="A130" t="s">
        <v>107</v>
      </c>
    </row>
    <row r="131" spans="1:10" x14ac:dyDescent="0.4">
      <c r="B131" t="s">
        <v>87</v>
      </c>
      <c r="C131" t="s">
        <v>102</v>
      </c>
    </row>
    <row r="132" spans="1:10" x14ac:dyDescent="0.4">
      <c r="D132" t="s">
        <v>21</v>
      </c>
      <c r="H132" t="s">
        <v>22</v>
      </c>
    </row>
    <row r="133" spans="1:10" x14ac:dyDescent="0.4">
      <c r="C133" t="s">
        <v>44</v>
      </c>
      <c r="D133" t="s">
        <v>81</v>
      </c>
      <c r="E133" t="s">
        <v>82</v>
      </c>
      <c r="F133" t="s">
        <v>83</v>
      </c>
      <c r="G133" t="s">
        <v>44</v>
      </c>
      <c r="H133" t="s">
        <v>81</v>
      </c>
      <c r="I133" t="s">
        <v>82</v>
      </c>
      <c r="J133" t="s">
        <v>83</v>
      </c>
    </row>
    <row r="134" spans="1:10" x14ac:dyDescent="0.4">
      <c r="B134" t="s">
        <v>68</v>
      </c>
      <c r="C134" s="3">
        <f>TEG_Syncronous_Pipeline_回路規模!$K$3-TEG_Syncronous_Pipeline_回路規模!$K$4</f>
        <v>9600</v>
      </c>
      <c r="D134">
        <f>$E$73-$E$74</f>
        <v>3.5725806451612829E-2</v>
      </c>
      <c r="E134">
        <f>$E$88-$E$89</f>
        <v>3.9659677419354722E-2</v>
      </c>
      <c r="F134">
        <f>$E$103-$E$104</f>
        <v>4.7999999999999932E-2</v>
      </c>
      <c r="G134" s="3">
        <f>TEG_Syncronous_Pipeline_回路規模!$K$3-TEG_Syncronous_Pipeline_回路規模!$K$4</f>
        <v>9600</v>
      </c>
      <c r="H134">
        <f>$G$73-$G$74</f>
        <v>0.10199999999999898</v>
      </c>
      <c r="I134">
        <f>$G$88-$G$89</f>
        <v>0.10451612903225582</v>
      </c>
      <c r="J134">
        <f>$F$103-$F$104</f>
        <v>0.127</v>
      </c>
    </row>
    <row r="135" spans="1:10" x14ac:dyDescent="0.4">
      <c r="B135" t="s">
        <v>49</v>
      </c>
      <c r="C135" s="3">
        <f>TEG_Syncronous_Pipeline_回路規模!$K$3-TEG_Syncronous_Pipeline_回路規模!$K$5</f>
        <v>19200</v>
      </c>
      <c r="D135">
        <f>$E$73-$E$75</f>
        <v>0.11795161290322431</v>
      </c>
      <c r="E135">
        <f>$E$88-$E$90</f>
        <v>0.11812903225806104</v>
      </c>
      <c r="F135">
        <f>$E$103-$E$105</f>
        <v>0.15599999999999997</v>
      </c>
      <c r="G135" s="3">
        <f>TEG_Syncronous_Pipeline_回路規模!$K$3-TEG_Syncronous_Pipeline_回路規模!$K$5</f>
        <v>19200</v>
      </c>
      <c r="H135">
        <f>$G$73-$G$75</f>
        <v>0.24249999999999972</v>
      </c>
      <c r="I135">
        <f>$G$88-$G$90</f>
        <v>0.24311290322580614</v>
      </c>
      <c r="J135">
        <f>$F$103-$F$105</f>
        <v>0.32199999999999995</v>
      </c>
    </row>
    <row r="136" spans="1:10" x14ac:dyDescent="0.4">
      <c r="B136" t="s">
        <v>50</v>
      </c>
      <c r="C136" s="3">
        <f>TEG_Syncronous_Pipeline_回路規模!$K$3-TEG_Syncronous_Pipeline_回路規模!$K$6</f>
        <v>28800</v>
      </c>
      <c r="D136">
        <f>$E$73-$E$76</f>
        <v>0.18108064516128985</v>
      </c>
      <c r="E136">
        <f>$E$88-$E$91</f>
        <v>0.18467741935483772</v>
      </c>
      <c r="F136">
        <f>$E$103-$E$106</f>
        <v>0.22299999999999998</v>
      </c>
      <c r="G136" s="3">
        <f>TEG_Syncronous_Pipeline_回路規模!$K$3-TEG_Syncronous_Pipeline_回路規模!$K$6</f>
        <v>28800</v>
      </c>
      <c r="H136">
        <f>$G$73-$G$76</f>
        <v>0.26651612903225841</v>
      </c>
      <c r="I136">
        <f>$G$88-$G$91</f>
        <v>0.30714516129032177</v>
      </c>
      <c r="J136">
        <f>$F$103-$F$106</f>
        <v>0.47799999999999998</v>
      </c>
    </row>
    <row r="137" spans="1:10" x14ac:dyDescent="0.4">
      <c r="B137" t="s">
        <v>69</v>
      </c>
      <c r="C137" s="3">
        <f>TEG_Syncronous_Pipeline_回路規模!$K$4-TEG_Syncronous_Pipeline_回路規模!$K$5</f>
        <v>9600</v>
      </c>
      <c r="D137">
        <f>$E$74-$E$75</f>
        <v>8.2225806451611483E-2</v>
      </c>
      <c r="E137">
        <f>$E$89-$E$90</f>
        <v>7.8469354838706318E-2</v>
      </c>
      <c r="F137">
        <f>$E$104-$E$105</f>
        <v>0.10800000000000004</v>
      </c>
      <c r="G137" s="3">
        <f>TEG_Syncronous_Pipeline_回路規模!$K$4-TEG_Syncronous_Pipeline_回路規模!$K$5</f>
        <v>9600</v>
      </c>
      <c r="H137">
        <f>$G$74-$G$75</f>
        <v>0.14050000000000074</v>
      </c>
      <c r="I137">
        <f>$G$89-$G$90</f>
        <v>0.13859677419355032</v>
      </c>
      <c r="J137">
        <f>$F$104-$F$105</f>
        <v>0.19499999999999995</v>
      </c>
    </row>
    <row r="138" spans="1:10" x14ac:dyDescent="0.4">
      <c r="B138" t="s">
        <v>70</v>
      </c>
      <c r="C138" s="3">
        <f>TEG_Syncronous_Pipeline_回路規模!$K$4-TEG_Syncronous_Pipeline_回路規模!$K$6</f>
        <v>19200</v>
      </c>
      <c r="D138">
        <f>$E$74-$E$76</f>
        <v>0.14535483870967703</v>
      </c>
      <c r="E138">
        <f>$E$89-$E$91</f>
        <v>0.145017741935483</v>
      </c>
      <c r="F138">
        <f>$E$104-$E$106</f>
        <v>0.17500000000000004</v>
      </c>
      <c r="G138" s="3">
        <f>TEG_Syncronous_Pipeline_回路規模!$K$4-TEG_Syncronous_Pipeline_回路規模!$K$6</f>
        <v>19200</v>
      </c>
      <c r="H138">
        <f>$G$74-$G$76</f>
        <v>0.16451612903225943</v>
      </c>
      <c r="I138">
        <f>$G$89-$G$91</f>
        <v>0.20262903225806594</v>
      </c>
      <c r="J138">
        <f>$F$104-$F$106</f>
        <v>0.35099999999999998</v>
      </c>
    </row>
    <row r="139" spans="1:10" x14ac:dyDescent="0.4">
      <c r="B139" t="s">
        <v>51</v>
      </c>
      <c r="C139" s="3">
        <f>TEG_Syncronous_Pipeline_回路規模!$K$5-TEG_Syncronous_Pipeline_回路規模!$K$6</f>
        <v>9600</v>
      </c>
      <c r="D139">
        <f>$E$75-$E$76</f>
        <v>6.3129032258065543E-2</v>
      </c>
      <c r="E139">
        <f>$E$90-$E$91</f>
        <v>6.6548387096776684E-2</v>
      </c>
      <c r="F139">
        <f>$E$105-$E$106</f>
        <v>6.7000000000000004E-2</v>
      </c>
      <c r="G139" s="3">
        <f>TEG_Syncronous_Pipeline_回路規模!$K$5-TEG_Syncronous_Pipeline_回路規模!$K$6</f>
        <v>9600</v>
      </c>
      <c r="H139">
        <f>$G$75-$G$76</f>
        <v>2.4016129032258693E-2</v>
      </c>
      <c r="I139">
        <f>$G$90-$G$91</f>
        <v>6.4032258064515624E-2</v>
      </c>
      <c r="J139">
        <f>$F$105-$F$106</f>
        <v>0.15600000000000003</v>
      </c>
    </row>
    <row r="159" spans="2:8" x14ac:dyDescent="0.4">
      <c r="B159" t="s">
        <v>114</v>
      </c>
    </row>
    <row r="160" spans="2:8" x14ac:dyDescent="0.4">
      <c r="D160" t="s">
        <v>21</v>
      </c>
      <c r="H160" t="s">
        <v>22</v>
      </c>
    </row>
    <row r="161" spans="1:10" x14ac:dyDescent="0.4">
      <c r="C161" t="s">
        <v>44</v>
      </c>
      <c r="D161" t="s">
        <v>81</v>
      </c>
      <c r="E161" t="s">
        <v>82</v>
      </c>
      <c r="F161" t="s">
        <v>83</v>
      </c>
      <c r="G161" t="s">
        <v>44</v>
      </c>
      <c r="H161" t="s">
        <v>81</v>
      </c>
      <c r="I161" t="s">
        <v>82</v>
      </c>
      <c r="J161" t="s">
        <v>83</v>
      </c>
    </row>
    <row r="162" spans="1:10" x14ac:dyDescent="0.4">
      <c r="B162" t="s">
        <v>110</v>
      </c>
      <c r="C162" s="3">
        <f>TEG_Syncronous_Pipeline_回路規模!K2-TEG_Syncronous_Pipeline_回路規模!K3</f>
        <v>9597</v>
      </c>
      <c r="F162">
        <f>E102-E103</f>
        <v>0.27200000000000002</v>
      </c>
      <c r="J162">
        <f>F102-F103</f>
        <v>0.16300000000000003</v>
      </c>
    </row>
    <row r="163" spans="1:10" x14ac:dyDescent="0.4">
      <c r="B163" t="s">
        <v>111</v>
      </c>
      <c r="C163" s="3">
        <f>TEG_Syncronous_Pipeline_回路規模!K2-TEG_Syncronous_Pipeline_回路規模!K4</f>
        <v>19197</v>
      </c>
      <c r="F163">
        <f>E102-E104</f>
        <v>0.31999999999999995</v>
      </c>
      <c r="J163">
        <f>F102-F104</f>
        <v>0.29000000000000004</v>
      </c>
    </row>
    <row r="164" spans="1:10" x14ac:dyDescent="0.4">
      <c r="B164" t="s">
        <v>112</v>
      </c>
      <c r="C164" s="3">
        <f>TEG_Syncronous_Pipeline_回路規模!K2-TEG_Syncronous_Pipeline_回路規模!K5</f>
        <v>28797</v>
      </c>
      <c r="F164">
        <f>E102-E105</f>
        <v>0.42799999999999999</v>
      </c>
      <c r="J164">
        <f>F102-F105</f>
        <v>0.48499999999999999</v>
      </c>
    </row>
    <row r="165" spans="1:10" x14ac:dyDescent="0.4">
      <c r="B165" t="s">
        <v>113</v>
      </c>
      <c r="C165" s="3">
        <f>TEG_Syncronous_Pipeline_回路規模!K2-TEG_Syncronous_Pipeline_回路規模!K6</f>
        <v>38397</v>
      </c>
      <c r="F165">
        <f>E102-E106</f>
        <v>0.495</v>
      </c>
      <c r="J165">
        <f>F102-F106</f>
        <v>0.64100000000000001</v>
      </c>
    </row>
    <row r="166" spans="1:10" x14ac:dyDescent="0.4">
      <c r="B166" t="s">
        <v>68</v>
      </c>
      <c r="C166" s="3">
        <f>TEG_Syncronous_Pipeline_回路規模!K3-TEG_Syncronous_Pipeline_回路規模!K4</f>
        <v>9600</v>
      </c>
      <c r="F166">
        <f>E103-E104</f>
        <v>4.7999999999999932E-2</v>
      </c>
      <c r="J166">
        <f>$F$103-$F$104</f>
        <v>0.127</v>
      </c>
    </row>
    <row r="167" spans="1:10" x14ac:dyDescent="0.4">
      <c r="B167" t="s">
        <v>49</v>
      </c>
      <c r="C167" s="3">
        <f>TEG_Syncronous_Pipeline_回路規模!$K$3-TEG_Syncronous_Pipeline_回路規模!$K$5</f>
        <v>19200</v>
      </c>
      <c r="F167">
        <f>$E$103-$E$105</f>
        <v>0.15599999999999997</v>
      </c>
      <c r="J167">
        <f>$F$103-$F$105</f>
        <v>0.32199999999999995</v>
      </c>
    </row>
    <row r="168" spans="1:10" x14ac:dyDescent="0.4">
      <c r="B168" t="s">
        <v>50</v>
      </c>
      <c r="C168" s="3">
        <f>TEG_Syncronous_Pipeline_回路規模!$K$3-TEG_Syncronous_Pipeline_回路規模!$K$6</f>
        <v>28800</v>
      </c>
      <c r="F168">
        <f>$E$103-$E$106</f>
        <v>0.22299999999999998</v>
      </c>
      <c r="J168">
        <f>$F$103-$F$106</f>
        <v>0.47799999999999998</v>
      </c>
    </row>
    <row r="169" spans="1:10" x14ac:dyDescent="0.4">
      <c r="B169" t="s">
        <v>69</v>
      </c>
      <c r="C169" s="3">
        <f>TEG_Syncronous_Pipeline_回路規模!$K$4-TEG_Syncronous_Pipeline_回路規模!$K$5</f>
        <v>9600</v>
      </c>
      <c r="F169">
        <f>$E$104-$E$105</f>
        <v>0.10800000000000004</v>
      </c>
      <c r="J169">
        <f>$F$104-$F$105</f>
        <v>0.19499999999999995</v>
      </c>
    </row>
    <row r="170" spans="1:10" x14ac:dyDescent="0.4">
      <c r="B170" t="s">
        <v>70</v>
      </c>
      <c r="C170" s="3">
        <f>TEG_Syncronous_Pipeline_回路規模!$K$4-TEG_Syncronous_Pipeline_回路規模!$K$6</f>
        <v>19200</v>
      </c>
      <c r="F170">
        <f>$E$104-$E$106</f>
        <v>0.17500000000000004</v>
      </c>
      <c r="J170">
        <f>$F$104-$F$106</f>
        <v>0.35099999999999998</v>
      </c>
    </row>
    <row r="171" spans="1:10" x14ac:dyDescent="0.4">
      <c r="B171" t="s">
        <v>51</v>
      </c>
      <c r="C171" s="3">
        <f>TEG_Syncronous_Pipeline_回路規模!$K$5-TEG_Syncronous_Pipeline_回路規模!$K$6</f>
        <v>9600</v>
      </c>
      <c r="F171">
        <f>$E$105-$E$106</f>
        <v>6.7000000000000004E-2</v>
      </c>
      <c r="J171">
        <f>$F$105-$F$106</f>
        <v>0.15600000000000003</v>
      </c>
    </row>
    <row r="175" spans="1:10" x14ac:dyDescent="0.4">
      <c r="A175" t="s">
        <v>126</v>
      </c>
    </row>
    <row r="176" spans="1:10" x14ac:dyDescent="0.4">
      <c r="B176" t="s">
        <v>121</v>
      </c>
      <c r="C176" t="s">
        <v>123</v>
      </c>
      <c r="D176" t="s">
        <v>122</v>
      </c>
      <c r="E176" t="s">
        <v>124</v>
      </c>
      <c r="F176" t="s">
        <v>127</v>
      </c>
      <c r="G176" t="s">
        <v>128</v>
      </c>
    </row>
    <row r="177" spans="2:7" x14ac:dyDescent="0.4">
      <c r="B177" t="s">
        <v>13</v>
      </c>
      <c r="C177">
        <v>4</v>
      </c>
      <c r="D177">
        <f>TEG_Syncronous_Pipeline_回路規模!H3</f>
        <v>9786</v>
      </c>
      <c r="E177" s="7">
        <f>TEG_Syncronous_Pipeline_回路規模!$I$3</f>
        <v>30884</v>
      </c>
      <c r="F177">
        <f>C64</f>
        <v>1.885</v>
      </c>
      <c r="G177">
        <f>P64</f>
        <v>2.3286935483870961</v>
      </c>
    </row>
    <row r="178" spans="2:7" x14ac:dyDescent="0.4">
      <c r="B178" t="s">
        <v>14</v>
      </c>
      <c r="C178">
        <v>3</v>
      </c>
      <c r="D178">
        <f>TEG_Syncronous_Pipeline_回路規模!H4</f>
        <v>9786</v>
      </c>
      <c r="E178" s="7">
        <f>TEG_Syncronous_Pipeline_回路規模!$I$4</f>
        <v>22896</v>
      </c>
      <c r="F178">
        <f>D64</f>
        <v>1.8492741935483872</v>
      </c>
      <c r="G178">
        <f>Q64</f>
        <v>2.2266935483870971</v>
      </c>
    </row>
    <row r="179" spans="2:7" x14ac:dyDescent="0.4">
      <c r="B179" t="s">
        <v>62</v>
      </c>
      <c r="C179">
        <v>2</v>
      </c>
      <c r="D179">
        <f>TEG_Syncronous_Pipeline_回路規模!H5</f>
        <v>9786</v>
      </c>
      <c r="E179" s="7">
        <f>TEG_Syncronous_Pipeline_回路規模!$I$5</f>
        <v>15328</v>
      </c>
      <c r="F179">
        <f>E64</f>
        <v>1.7670483870967757</v>
      </c>
      <c r="G179">
        <f>R64</f>
        <v>2.0861935483870964</v>
      </c>
    </row>
    <row r="180" spans="2:7" x14ac:dyDescent="0.4">
      <c r="B180" t="s">
        <v>63</v>
      </c>
      <c r="C180">
        <v>1</v>
      </c>
      <c r="D180">
        <f>TEG_Syncronous_Pipeline_回路規模!H6</f>
        <v>9786</v>
      </c>
      <c r="E180" s="8">
        <f>TEG_Syncronous_Pipeline_回路規模!$I$6</f>
        <v>7830</v>
      </c>
      <c r="F180">
        <f>F64</f>
        <v>1.7039193548387102</v>
      </c>
      <c r="G180">
        <f>S64</f>
        <v>2.0621774193548377</v>
      </c>
    </row>
  </sheetData>
  <mergeCells count="10">
    <mergeCell ref="J102:K102"/>
    <mergeCell ref="L102:M102"/>
    <mergeCell ref="D71:E71"/>
    <mergeCell ref="F71:G71"/>
    <mergeCell ref="K71:L71"/>
    <mergeCell ref="M71:N71"/>
    <mergeCell ref="D86:E86"/>
    <mergeCell ref="F86:G86"/>
    <mergeCell ref="J86:K86"/>
    <mergeCell ref="L86:M8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33"/>
  <sheetViews>
    <sheetView topLeftCell="A79" workbookViewId="0">
      <selection activeCell="A3" sqref="A3:A64"/>
    </sheetView>
  </sheetViews>
  <sheetFormatPr defaultRowHeight="18.75" x14ac:dyDescent="0.4"/>
  <sheetData>
    <row r="1" spans="1:18" x14ac:dyDescent="0.4">
      <c r="A1" t="s">
        <v>194</v>
      </c>
      <c r="D1" t="s">
        <v>195</v>
      </c>
      <c r="G1" t="s">
        <v>196</v>
      </c>
      <c r="J1" t="s">
        <v>198</v>
      </c>
      <c r="M1" t="s">
        <v>199</v>
      </c>
      <c r="P1" t="s">
        <v>200</v>
      </c>
    </row>
    <row r="2" spans="1:18" x14ac:dyDescent="0.4">
      <c r="B2" t="s">
        <v>21</v>
      </c>
      <c r="C2" t="s">
        <v>22</v>
      </c>
      <c r="E2" t="s">
        <v>21</v>
      </c>
      <c r="F2" t="s">
        <v>22</v>
      </c>
      <c r="H2" t="s">
        <v>21</v>
      </c>
      <c r="I2" t="s">
        <v>22</v>
      </c>
      <c r="K2" t="s">
        <v>21</v>
      </c>
      <c r="L2" t="s">
        <v>22</v>
      </c>
      <c r="N2" t="s">
        <v>21</v>
      </c>
      <c r="O2" t="s">
        <v>22</v>
      </c>
      <c r="Q2" t="s">
        <v>21</v>
      </c>
      <c r="R2" t="s">
        <v>22</v>
      </c>
    </row>
    <row r="3" spans="1:18" x14ac:dyDescent="0.4">
      <c r="A3">
        <v>0</v>
      </c>
      <c r="B3">
        <v>1.921</v>
      </c>
      <c r="C3">
        <v>2.3679999999999999</v>
      </c>
      <c r="D3">
        <v>0</v>
      </c>
      <c r="E3">
        <v>1.859</v>
      </c>
      <c r="F3">
        <v>2.2559999999999998</v>
      </c>
      <c r="G3">
        <v>0</v>
      </c>
      <c r="H3">
        <v>2.2069999999999999</v>
      </c>
      <c r="I3" t="s">
        <v>197</v>
      </c>
      <c r="J3">
        <v>0</v>
      </c>
      <c r="K3">
        <v>2.0209999999999999</v>
      </c>
      <c r="L3">
        <v>2.5259999999999998</v>
      </c>
      <c r="M3">
        <v>0</v>
      </c>
      <c r="N3">
        <v>1.6830000000000001</v>
      </c>
      <c r="O3" t="s">
        <v>197</v>
      </c>
      <c r="P3">
        <v>0</v>
      </c>
      <c r="Q3">
        <v>1.6180000000000001</v>
      </c>
      <c r="R3" t="s">
        <v>197</v>
      </c>
    </row>
    <row r="4" spans="1:18" x14ac:dyDescent="0.4">
      <c r="A4">
        <v>0</v>
      </c>
      <c r="B4">
        <v>1.921</v>
      </c>
      <c r="C4">
        <v>2.3919999999999999</v>
      </c>
      <c r="D4">
        <v>0</v>
      </c>
      <c r="E4">
        <v>1.8660000000000001</v>
      </c>
      <c r="F4">
        <v>2.25</v>
      </c>
      <c r="G4">
        <v>0</v>
      </c>
      <c r="H4">
        <v>2.2109999999999999</v>
      </c>
      <c r="J4">
        <v>0</v>
      </c>
      <c r="K4">
        <v>2.0209999999999999</v>
      </c>
      <c r="L4">
        <v>2.5259999999999998</v>
      </c>
      <c r="M4">
        <v>0</v>
      </c>
      <c r="N4">
        <v>1.6830000000000001</v>
      </c>
      <c r="P4">
        <v>0</v>
      </c>
      <c r="Q4">
        <v>1.6080000000000001</v>
      </c>
    </row>
    <row r="5" spans="1:18" x14ac:dyDescent="0.4">
      <c r="A5">
        <v>1</v>
      </c>
      <c r="B5">
        <v>1.9279999999999999</v>
      </c>
      <c r="C5">
        <v>2.3820000000000001</v>
      </c>
      <c r="D5">
        <v>1</v>
      </c>
      <c r="E5">
        <v>1.869</v>
      </c>
      <c r="F5">
        <v>2.2519999999999998</v>
      </c>
      <c r="G5">
        <v>1</v>
      </c>
      <c r="H5">
        <v>2.2109999999999999</v>
      </c>
      <c r="J5">
        <v>1</v>
      </c>
      <c r="K5">
        <v>2.0369999999999999</v>
      </c>
      <c r="L5">
        <v>2.536</v>
      </c>
      <c r="M5">
        <v>1</v>
      </c>
      <c r="N5">
        <v>1.6890000000000001</v>
      </c>
      <c r="P5">
        <v>1</v>
      </c>
      <c r="Q5">
        <v>1.605</v>
      </c>
    </row>
    <row r="6" spans="1:18" x14ac:dyDescent="0.4">
      <c r="A6">
        <v>1</v>
      </c>
      <c r="B6">
        <v>1.921</v>
      </c>
      <c r="C6">
        <v>2.3679999999999999</v>
      </c>
      <c r="D6">
        <v>1</v>
      </c>
      <c r="E6">
        <v>1.855</v>
      </c>
      <c r="F6">
        <v>2.2519999999999998</v>
      </c>
      <c r="G6">
        <v>1</v>
      </c>
      <c r="H6">
        <v>2.1970000000000001</v>
      </c>
      <c r="J6">
        <v>1</v>
      </c>
      <c r="K6">
        <v>2.012</v>
      </c>
      <c r="L6">
        <v>2.536</v>
      </c>
      <c r="M6">
        <v>1</v>
      </c>
      <c r="N6">
        <v>1.6890000000000001</v>
      </c>
      <c r="P6">
        <v>1</v>
      </c>
      <c r="Q6">
        <v>1.6160000000000001</v>
      </c>
    </row>
    <row r="7" spans="1:18" x14ac:dyDescent="0.4">
      <c r="A7">
        <v>2</v>
      </c>
      <c r="B7">
        <v>1.931</v>
      </c>
      <c r="C7">
        <v>2.3780000000000001</v>
      </c>
      <c r="D7">
        <v>2</v>
      </c>
      <c r="E7">
        <v>1.855</v>
      </c>
      <c r="F7">
        <v>2.266</v>
      </c>
      <c r="G7">
        <v>2</v>
      </c>
      <c r="H7">
        <v>2.2109999999999999</v>
      </c>
      <c r="J7">
        <v>2</v>
      </c>
      <c r="K7">
        <v>2.012</v>
      </c>
      <c r="L7">
        <v>2.5259999999999998</v>
      </c>
      <c r="M7">
        <v>2</v>
      </c>
      <c r="N7">
        <v>1.6890000000000001</v>
      </c>
      <c r="P7">
        <v>2</v>
      </c>
      <c r="Q7">
        <v>1.6160000000000001</v>
      </c>
    </row>
    <row r="8" spans="1:18" x14ac:dyDescent="0.4">
      <c r="A8">
        <v>2</v>
      </c>
      <c r="B8">
        <v>1.921</v>
      </c>
      <c r="C8">
        <v>2.3780000000000001</v>
      </c>
      <c r="D8">
        <v>2</v>
      </c>
      <c r="E8">
        <v>1.8660000000000001</v>
      </c>
      <c r="F8">
        <v>2.266</v>
      </c>
      <c r="G8">
        <v>2</v>
      </c>
      <c r="H8">
        <v>2.2109999999999999</v>
      </c>
      <c r="J8">
        <v>2</v>
      </c>
      <c r="K8">
        <v>2.0209999999999999</v>
      </c>
      <c r="L8">
        <v>2.5259999999999998</v>
      </c>
      <c r="M8">
        <v>2</v>
      </c>
      <c r="N8">
        <v>1.6919999999999999</v>
      </c>
      <c r="P8">
        <v>2</v>
      </c>
      <c r="Q8">
        <v>1.6080000000000001</v>
      </c>
    </row>
    <row r="9" spans="1:18" x14ac:dyDescent="0.4">
      <c r="A9">
        <v>3</v>
      </c>
      <c r="B9">
        <v>1.9279999999999999</v>
      </c>
      <c r="C9">
        <v>2.3780000000000001</v>
      </c>
      <c r="D9">
        <v>3</v>
      </c>
      <c r="E9">
        <v>1.859</v>
      </c>
      <c r="F9">
        <v>2.246</v>
      </c>
      <c r="G9">
        <v>3</v>
      </c>
      <c r="H9">
        <v>2.2069999999999999</v>
      </c>
      <c r="J9">
        <v>3</v>
      </c>
      <c r="K9">
        <v>2.016</v>
      </c>
      <c r="L9">
        <v>2.536</v>
      </c>
      <c r="M9">
        <v>3</v>
      </c>
      <c r="N9">
        <v>1.6890000000000001</v>
      </c>
      <c r="P9">
        <v>3</v>
      </c>
      <c r="Q9">
        <v>1.6160000000000001</v>
      </c>
    </row>
    <row r="10" spans="1:18" x14ac:dyDescent="0.4">
      <c r="A10">
        <v>3</v>
      </c>
      <c r="B10">
        <v>1.9279999999999999</v>
      </c>
      <c r="C10">
        <v>2.3679999999999999</v>
      </c>
      <c r="D10">
        <v>3</v>
      </c>
      <c r="E10">
        <v>1.859</v>
      </c>
      <c r="F10">
        <v>2.246</v>
      </c>
      <c r="G10">
        <v>3</v>
      </c>
      <c r="H10">
        <v>2.2069999999999999</v>
      </c>
      <c r="J10">
        <v>3</v>
      </c>
      <c r="K10">
        <v>2.0209999999999999</v>
      </c>
      <c r="L10">
        <v>2.536</v>
      </c>
      <c r="M10">
        <v>3</v>
      </c>
      <c r="N10">
        <v>1.68</v>
      </c>
      <c r="P10">
        <v>3</v>
      </c>
      <c r="Q10">
        <v>1.6080000000000001</v>
      </c>
    </row>
    <row r="11" spans="1:18" x14ac:dyDescent="0.4">
      <c r="A11">
        <v>4</v>
      </c>
      <c r="B11">
        <v>1.921</v>
      </c>
      <c r="C11">
        <v>2.3820000000000001</v>
      </c>
      <c r="D11">
        <v>4</v>
      </c>
      <c r="E11">
        <v>1.859</v>
      </c>
      <c r="F11">
        <v>2.2519999999999998</v>
      </c>
      <c r="G11">
        <v>4</v>
      </c>
      <c r="H11">
        <v>2.2069999999999999</v>
      </c>
      <c r="J11">
        <v>4</v>
      </c>
      <c r="K11">
        <v>2.0169999999999999</v>
      </c>
      <c r="L11">
        <v>2.5209999999999999</v>
      </c>
      <c r="M11">
        <v>4</v>
      </c>
      <c r="N11">
        <v>1.6890000000000001</v>
      </c>
      <c r="P11">
        <v>4</v>
      </c>
      <c r="Q11">
        <v>1.6160000000000001</v>
      </c>
    </row>
    <row r="12" spans="1:18" x14ac:dyDescent="0.4">
      <c r="A12">
        <v>4</v>
      </c>
      <c r="B12">
        <v>1.921</v>
      </c>
      <c r="C12">
        <v>2.3820000000000001</v>
      </c>
      <c r="D12">
        <v>4</v>
      </c>
      <c r="E12">
        <v>1.855</v>
      </c>
      <c r="F12">
        <v>2.242</v>
      </c>
      <c r="G12">
        <v>4</v>
      </c>
      <c r="H12">
        <v>2.2109999999999999</v>
      </c>
      <c r="J12">
        <v>4</v>
      </c>
      <c r="K12">
        <v>2.0169999999999999</v>
      </c>
      <c r="L12">
        <v>2.536</v>
      </c>
      <c r="M12">
        <v>4</v>
      </c>
      <c r="N12">
        <v>1.6830000000000001</v>
      </c>
      <c r="P12">
        <v>4</v>
      </c>
      <c r="Q12">
        <v>1.6180000000000001</v>
      </c>
    </row>
    <row r="13" spans="1:18" x14ac:dyDescent="0.4">
      <c r="A13">
        <v>5</v>
      </c>
      <c r="B13">
        <v>1.921</v>
      </c>
      <c r="C13">
        <v>2.3780000000000001</v>
      </c>
      <c r="D13">
        <v>5</v>
      </c>
      <c r="E13">
        <v>1.859</v>
      </c>
      <c r="F13">
        <v>2.242</v>
      </c>
      <c r="G13">
        <v>5</v>
      </c>
      <c r="H13">
        <v>2.2000000000000002</v>
      </c>
      <c r="J13">
        <v>5</v>
      </c>
      <c r="K13">
        <v>2.016</v>
      </c>
      <c r="L13">
        <v>2.536</v>
      </c>
      <c r="M13">
        <v>5</v>
      </c>
      <c r="N13">
        <v>1.6890000000000001</v>
      </c>
      <c r="P13">
        <v>5</v>
      </c>
      <c r="Q13">
        <v>1.6080000000000001</v>
      </c>
    </row>
    <row r="14" spans="1:18" x14ac:dyDescent="0.4">
      <c r="A14">
        <v>5</v>
      </c>
      <c r="B14">
        <v>1.921</v>
      </c>
      <c r="C14">
        <v>2.3820000000000001</v>
      </c>
      <c r="D14">
        <v>5</v>
      </c>
      <c r="E14">
        <v>1.859</v>
      </c>
      <c r="F14">
        <v>2.246</v>
      </c>
      <c r="G14">
        <v>5</v>
      </c>
      <c r="H14">
        <v>2.2109999999999999</v>
      </c>
      <c r="J14">
        <v>5</v>
      </c>
      <c r="K14">
        <v>2.0209999999999999</v>
      </c>
      <c r="L14">
        <v>2.536</v>
      </c>
      <c r="M14">
        <v>5</v>
      </c>
      <c r="N14">
        <v>1.6830000000000001</v>
      </c>
      <c r="P14">
        <v>5</v>
      </c>
      <c r="Q14">
        <v>1.6160000000000001</v>
      </c>
    </row>
    <row r="15" spans="1:18" x14ac:dyDescent="0.4">
      <c r="A15">
        <v>6</v>
      </c>
      <c r="B15">
        <v>1.921</v>
      </c>
      <c r="C15">
        <v>2.3820000000000001</v>
      </c>
      <c r="D15">
        <v>6</v>
      </c>
      <c r="E15">
        <v>1.869</v>
      </c>
      <c r="F15">
        <v>2.2559999999999998</v>
      </c>
      <c r="G15">
        <v>6</v>
      </c>
      <c r="H15">
        <v>2.2210000000000001</v>
      </c>
      <c r="J15">
        <v>6</v>
      </c>
      <c r="K15">
        <v>2.0209999999999999</v>
      </c>
      <c r="L15">
        <v>2.5259999999999998</v>
      </c>
      <c r="M15">
        <v>6</v>
      </c>
      <c r="N15">
        <v>1.6919999999999999</v>
      </c>
      <c r="P15">
        <v>6</v>
      </c>
      <c r="Q15">
        <v>1.629</v>
      </c>
    </row>
    <row r="16" spans="1:18" x14ac:dyDescent="0.4">
      <c r="A16">
        <v>6</v>
      </c>
      <c r="B16">
        <v>1.911</v>
      </c>
      <c r="C16">
        <v>2.3820000000000001</v>
      </c>
      <c r="D16">
        <v>6</v>
      </c>
      <c r="E16">
        <v>1.859</v>
      </c>
      <c r="F16">
        <v>2.266</v>
      </c>
      <c r="G16">
        <v>6</v>
      </c>
      <c r="H16">
        <v>2.2069999999999999</v>
      </c>
      <c r="J16">
        <v>6</v>
      </c>
      <c r="K16">
        <v>2.016</v>
      </c>
      <c r="L16">
        <v>2.536</v>
      </c>
      <c r="M16">
        <v>6</v>
      </c>
      <c r="N16">
        <v>1.6830000000000001</v>
      </c>
      <c r="P16">
        <v>6</v>
      </c>
      <c r="Q16">
        <v>1.6080000000000001</v>
      </c>
    </row>
    <row r="17" spans="1:17" x14ac:dyDescent="0.4">
      <c r="A17">
        <v>7</v>
      </c>
      <c r="B17">
        <v>1.911</v>
      </c>
      <c r="C17">
        <v>2.3820000000000001</v>
      </c>
      <c r="D17">
        <v>7</v>
      </c>
      <c r="E17">
        <v>1.859</v>
      </c>
      <c r="F17">
        <v>2.27</v>
      </c>
      <c r="G17">
        <v>7</v>
      </c>
      <c r="H17">
        <v>2.2000000000000002</v>
      </c>
      <c r="J17">
        <v>7</v>
      </c>
      <c r="K17">
        <v>2.016</v>
      </c>
      <c r="L17">
        <v>2.516</v>
      </c>
      <c r="M17">
        <v>7</v>
      </c>
      <c r="N17">
        <v>1.6830000000000001</v>
      </c>
      <c r="P17">
        <v>7</v>
      </c>
      <c r="Q17">
        <v>1.6080000000000001</v>
      </c>
    </row>
    <row r="18" spans="1:17" x14ac:dyDescent="0.4">
      <c r="A18">
        <v>7</v>
      </c>
      <c r="B18">
        <v>1.911</v>
      </c>
      <c r="C18">
        <v>2.3820000000000001</v>
      </c>
      <c r="D18">
        <v>7</v>
      </c>
      <c r="E18">
        <v>1.859</v>
      </c>
      <c r="F18">
        <v>2.2559999999999998</v>
      </c>
      <c r="G18">
        <v>7</v>
      </c>
      <c r="H18">
        <v>2.2109999999999999</v>
      </c>
      <c r="J18">
        <v>7</v>
      </c>
      <c r="K18">
        <v>2.016</v>
      </c>
      <c r="L18">
        <v>2.516</v>
      </c>
      <c r="M18">
        <v>7</v>
      </c>
      <c r="N18">
        <v>1.6890000000000001</v>
      </c>
      <c r="P18">
        <v>7</v>
      </c>
      <c r="Q18">
        <v>1.605</v>
      </c>
    </row>
    <row r="19" spans="1:17" x14ac:dyDescent="0.4">
      <c r="A19">
        <v>8</v>
      </c>
      <c r="B19">
        <v>1.9179999999999999</v>
      </c>
      <c r="C19">
        <v>2.3879999999999999</v>
      </c>
      <c r="D19">
        <v>8</v>
      </c>
      <c r="E19">
        <v>1.855</v>
      </c>
      <c r="F19">
        <v>2.2559999999999998</v>
      </c>
      <c r="G19">
        <v>8</v>
      </c>
      <c r="H19">
        <v>2.2069999999999999</v>
      </c>
      <c r="J19">
        <v>8</v>
      </c>
      <c r="K19">
        <v>2.016</v>
      </c>
      <c r="L19">
        <v>2.5310000000000001</v>
      </c>
      <c r="M19">
        <v>8</v>
      </c>
      <c r="N19">
        <v>1.68</v>
      </c>
      <c r="P19">
        <v>8</v>
      </c>
      <c r="Q19">
        <v>1.605</v>
      </c>
    </row>
    <row r="20" spans="1:17" x14ac:dyDescent="0.4">
      <c r="A20">
        <v>8</v>
      </c>
      <c r="B20">
        <v>1.9179999999999999</v>
      </c>
      <c r="C20">
        <v>2.3820000000000001</v>
      </c>
      <c r="D20">
        <v>8</v>
      </c>
      <c r="E20">
        <v>1.859</v>
      </c>
      <c r="F20">
        <v>2.246</v>
      </c>
      <c r="G20">
        <v>8</v>
      </c>
      <c r="H20">
        <v>2.2069999999999999</v>
      </c>
      <c r="J20">
        <v>8</v>
      </c>
      <c r="K20">
        <v>2.016</v>
      </c>
      <c r="L20">
        <v>2.536</v>
      </c>
      <c r="M20">
        <v>8</v>
      </c>
      <c r="N20">
        <v>1.6890000000000001</v>
      </c>
      <c r="P20">
        <v>8</v>
      </c>
      <c r="Q20">
        <v>1.6080000000000001</v>
      </c>
    </row>
    <row r="21" spans="1:17" x14ac:dyDescent="0.4">
      <c r="A21">
        <v>9</v>
      </c>
      <c r="B21">
        <v>1.9279999999999999</v>
      </c>
      <c r="C21">
        <v>2.3679999999999999</v>
      </c>
      <c r="D21">
        <v>9</v>
      </c>
      <c r="E21">
        <v>1.869</v>
      </c>
      <c r="F21">
        <v>2.246</v>
      </c>
      <c r="G21">
        <v>9</v>
      </c>
      <c r="H21">
        <v>2.2109999999999999</v>
      </c>
      <c r="J21">
        <v>9</v>
      </c>
      <c r="K21">
        <v>2.0169999999999999</v>
      </c>
      <c r="L21">
        <v>2.5259999999999998</v>
      </c>
      <c r="M21">
        <v>9</v>
      </c>
      <c r="N21">
        <v>1.6830000000000001</v>
      </c>
      <c r="P21">
        <v>9</v>
      </c>
      <c r="Q21">
        <v>1.605</v>
      </c>
    </row>
    <row r="22" spans="1:17" x14ac:dyDescent="0.4">
      <c r="A22">
        <v>9</v>
      </c>
      <c r="B22">
        <v>1.9179999999999999</v>
      </c>
      <c r="C22">
        <v>2.3820000000000001</v>
      </c>
      <c r="D22">
        <v>9</v>
      </c>
      <c r="E22">
        <v>1.859</v>
      </c>
      <c r="F22">
        <v>2.2549999999999999</v>
      </c>
      <c r="G22">
        <v>9</v>
      </c>
      <c r="H22">
        <v>2.2069999999999999</v>
      </c>
      <c r="J22">
        <v>9</v>
      </c>
      <c r="K22">
        <v>2.0169999999999999</v>
      </c>
      <c r="L22">
        <v>2.536</v>
      </c>
      <c r="M22">
        <v>9</v>
      </c>
      <c r="N22">
        <v>1.6830000000000001</v>
      </c>
      <c r="P22">
        <v>9</v>
      </c>
      <c r="Q22">
        <v>1.6080000000000001</v>
      </c>
    </row>
    <row r="23" spans="1:17" x14ac:dyDescent="0.4">
      <c r="A23">
        <v>10</v>
      </c>
      <c r="B23">
        <v>1.911</v>
      </c>
      <c r="C23">
        <v>2.3820000000000001</v>
      </c>
      <c r="D23">
        <v>10</v>
      </c>
      <c r="E23">
        <v>1.869</v>
      </c>
      <c r="F23">
        <v>2.2519999999999998</v>
      </c>
      <c r="G23">
        <v>10</v>
      </c>
      <c r="H23">
        <v>2.2109999999999999</v>
      </c>
      <c r="J23">
        <v>10</v>
      </c>
      <c r="K23">
        <v>2.016</v>
      </c>
      <c r="L23">
        <v>2.536</v>
      </c>
      <c r="M23">
        <v>10</v>
      </c>
      <c r="N23">
        <v>1.6830000000000001</v>
      </c>
      <c r="P23">
        <v>10</v>
      </c>
      <c r="Q23">
        <v>1.605</v>
      </c>
    </row>
    <row r="24" spans="1:17" x14ac:dyDescent="0.4">
      <c r="A24">
        <v>10</v>
      </c>
      <c r="B24">
        <v>1.9179999999999999</v>
      </c>
      <c r="C24">
        <v>2.3820000000000001</v>
      </c>
      <c r="D24">
        <v>10</v>
      </c>
      <c r="E24">
        <v>1.869</v>
      </c>
      <c r="F24">
        <v>2.246</v>
      </c>
      <c r="G24">
        <v>10</v>
      </c>
      <c r="H24">
        <v>2.2170000000000001</v>
      </c>
      <c r="J24">
        <v>10</v>
      </c>
      <c r="K24">
        <v>2.0310000000000001</v>
      </c>
      <c r="L24">
        <v>2.536</v>
      </c>
      <c r="M24">
        <v>10</v>
      </c>
      <c r="N24">
        <v>1.6830000000000001</v>
      </c>
      <c r="P24">
        <v>10</v>
      </c>
      <c r="Q24">
        <v>1.605</v>
      </c>
    </row>
    <row r="25" spans="1:17" x14ac:dyDescent="0.4">
      <c r="A25">
        <v>11</v>
      </c>
      <c r="B25">
        <v>1.9179999999999999</v>
      </c>
      <c r="C25">
        <v>2.3820000000000001</v>
      </c>
      <c r="D25">
        <v>11</v>
      </c>
      <c r="E25">
        <v>1.869</v>
      </c>
      <c r="F25">
        <v>2.2559999999999998</v>
      </c>
      <c r="G25">
        <v>11</v>
      </c>
      <c r="H25">
        <v>2.2170000000000001</v>
      </c>
      <c r="J25">
        <v>11</v>
      </c>
      <c r="K25">
        <v>2.0209999999999999</v>
      </c>
      <c r="L25">
        <v>2.5209999999999999</v>
      </c>
      <c r="M25">
        <v>11</v>
      </c>
      <c r="N25">
        <v>1.6890000000000001</v>
      </c>
      <c r="P25">
        <v>11</v>
      </c>
      <c r="Q25">
        <v>1.605</v>
      </c>
    </row>
    <row r="26" spans="1:17" x14ac:dyDescent="0.4">
      <c r="A26">
        <v>11</v>
      </c>
      <c r="B26">
        <v>1.921</v>
      </c>
      <c r="C26">
        <v>2.3820000000000001</v>
      </c>
      <c r="D26">
        <v>11</v>
      </c>
      <c r="E26">
        <v>1.8660000000000001</v>
      </c>
      <c r="F26">
        <v>2.2559999999999998</v>
      </c>
      <c r="G26">
        <v>11</v>
      </c>
      <c r="H26">
        <v>2.2000000000000002</v>
      </c>
      <c r="J26">
        <v>11</v>
      </c>
      <c r="K26">
        <v>2.0209999999999999</v>
      </c>
      <c r="L26">
        <v>2.5259999999999998</v>
      </c>
      <c r="M26">
        <v>11</v>
      </c>
      <c r="N26">
        <v>1.6890000000000001</v>
      </c>
      <c r="P26">
        <v>11</v>
      </c>
      <c r="Q26">
        <v>1.6080000000000001</v>
      </c>
    </row>
    <row r="27" spans="1:17" x14ac:dyDescent="0.4">
      <c r="A27">
        <v>12</v>
      </c>
      <c r="B27">
        <v>1.921</v>
      </c>
      <c r="C27">
        <v>2.3820000000000001</v>
      </c>
      <c r="D27">
        <v>12</v>
      </c>
      <c r="E27">
        <v>1.859</v>
      </c>
      <c r="F27">
        <v>2.246</v>
      </c>
      <c r="G27">
        <v>12</v>
      </c>
      <c r="H27">
        <v>2.2000000000000002</v>
      </c>
      <c r="J27">
        <v>12</v>
      </c>
      <c r="K27">
        <v>2.0209999999999999</v>
      </c>
      <c r="L27">
        <v>2.5259999999999998</v>
      </c>
      <c r="M27">
        <v>12</v>
      </c>
      <c r="N27">
        <v>1.6890000000000001</v>
      </c>
      <c r="P27">
        <v>12</v>
      </c>
      <c r="Q27">
        <v>1.6180000000000001</v>
      </c>
    </row>
    <row r="28" spans="1:17" x14ac:dyDescent="0.4">
      <c r="A28">
        <v>12</v>
      </c>
      <c r="B28">
        <v>1.921</v>
      </c>
      <c r="C28">
        <v>2.3820000000000001</v>
      </c>
      <c r="D28">
        <v>12</v>
      </c>
      <c r="E28">
        <v>1.859</v>
      </c>
      <c r="F28">
        <v>2.246</v>
      </c>
      <c r="G28">
        <v>12</v>
      </c>
      <c r="H28">
        <v>2.2000000000000002</v>
      </c>
      <c r="J28">
        <v>12</v>
      </c>
      <c r="K28">
        <v>2.0209999999999999</v>
      </c>
      <c r="L28">
        <v>2.536</v>
      </c>
      <c r="M28">
        <v>12</v>
      </c>
      <c r="N28">
        <v>1.6990000000000001</v>
      </c>
      <c r="P28">
        <v>12</v>
      </c>
      <c r="Q28">
        <v>1.6160000000000001</v>
      </c>
    </row>
    <row r="29" spans="1:17" x14ac:dyDescent="0.4">
      <c r="A29">
        <v>13</v>
      </c>
      <c r="B29">
        <v>1.911</v>
      </c>
      <c r="C29">
        <v>2.3679999999999999</v>
      </c>
      <c r="D29">
        <v>13</v>
      </c>
      <c r="E29">
        <v>1.859</v>
      </c>
      <c r="F29">
        <v>2.246</v>
      </c>
      <c r="G29">
        <v>13</v>
      </c>
      <c r="H29">
        <v>2.2109999999999999</v>
      </c>
      <c r="J29">
        <v>13</v>
      </c>
      <c r="K29">
        <v>2.0209999999999999</v>
      </c>
      <c r="L29">
        <v>2.5310000000000001</v>
      </c>
      <c r="M29">
        <v>13</v>
      </c>
      <c r="N29">
        <v>1.6890000000000001</v>
      </c>
      <c r="P29">
        <v>13</v>
      </c>
      <c r="Q29">
        <v>1.6160000000000001</v>
      </c>
    </row>
    <row r="30" spans="1:17" x14ac:dyDescent="0.4">
      <c r="A30">
        <v>13</v>
      </c>
      <c r="B30">
        <v>1.911</v>
      </c>
      <c r="C30">
        <v>2.3919999999999999</v>
      </c>
      <c r="D30">
        <v>13</v>
      </c>
      <c r="E30">
        <v>1.849</v>
      </c>
      <c r="F30">
        <v>2.2559999999999998</v>
      </c>
      <c r="G30">
        <v>13</v>
      </c>
      <c r="H30">
        <v>2.2109999999999999</v>
      </c>
      <c r="J30">
        <v>13</v>
      </c>
      <c r="K30">
        <v>2.0209999999999999</v>
      </c>
      <c r="L30">
        <v>2.5259999999999998</v>
      </c>
      <c r="M30">
        <v>13</v>
      </c>
      <c r="N30">
        <v>1.6890000000000001</v>
      </c>
      <c r="P30">
        <v>13</v>
      </c>
      <c r="Q30">
        <v>1.6080000000000001</v>
      </c>
    </row>
    <row r="31" spans="1:17" x14ac:dyDescent="0.4">
      <c r="A31">
        <v>14</v>
      </c>
      <c r="B31">
        <v>1.9079999999999999</v>
      </c>
      <c r="C31">
        <v>2.3780000000000001</v>
      </c>
      <c r="D31">
        <v>14</v>
      </c>
      <c r="E31">
        <v>1.859</v>
      </c>
      <c r="F31">
        <v>2.25</v>
      </c>
      <c r="G31">
        <v>14</v>
      </c>
      <c r="H31">
        <v>2.2109999999999999</v>
      </c>
      <c r="J31">
        <v>14</v>
      </c>
      <c r="K31">
        <v>2.0209999999999999</v>
      </c>
      <c r="L31">
        <v>2.5209999999999999</v>
      </c>
      <c r="M31">
        <v>14</v>
      </c>
      <c r="N31">
        <v>1.6890000000000001</v>
      </c>
      <c r="P31">
        <v>14</v>
      </c>
      <c r="Q31">
        <v>1.6180000000000001</v>
      </c>
    </row>
    <row r="32" spans="1:17" x14ac:dyDescent="0.4">
      <c r="A32">
        <v>14</v>
      </c>
      <c r="B32">
        <v>1.921</v>
      </c>
      <c r="C32">
        <v>2.3780000000000001</v>
      </c>
      <c r="D32">
        <v>14</v>
      </c>
      <c r="E32">
        <v>1.859</v>
      </c>
      <c r="F32">
        <v>2.266</v>
      </c>
      <c r="G32">
        <v>14</v>
      </c>
      <c r="H32">
        <v>2.2069999999999999</v>
      </c>
      <c r="J32">
        <v>14</v>
      </c>
      <c r="K32">
        <v>2.0209999999999999</v>
      </c>
      <c r="L32">
        <v>2.5209999999999999</v>
      </c>
      <c r="M32">
        <v>14</v>
      </c>
      <c r="N32">
        <v>1.6890000000000001</v>
      </c>
      <c r="P32">
        <v>14</v>
      </c>
      <c r="Q32">
        <v>1.6080000000000001</v>
      </c>
    </row>
    <row r="33" spans="1:17" x14ac:dyDescent="0.4">
      <c r="A33">
        <v>15</v>
      </c>
      <c r="B33">
        <v>1.921</v>
      </c>
      <c r="C33">
        <v>2.3780000000000001</v>
      </c>
      <c r="D33">
        <v>15</v>
      </c>
      <c r="E33">
        <v>1.859</v>
      </c>
      <c r="F33">
        <v>2.266</v>
      </c>
      <c r="G33">
        <v>15</v>
      </c>
      <c r="H33">
        <v>2.2069999999999999</v>
      </c>
      <c r="J33">
        <v>15</v>
      </c>
      <c r="K33">
        <v>2.0169999999999999</v>
      </c>
      <c r="L33">
        <v>2.536</v>
      </c>
      <c r="M33">
        <v>15</v>
      </c>
      <c r="N33">
        <v>1.6830000000000001</v>
      </c>
      <c r="P33">
        <v>15</v>
      </c>
      <c r="Q33">
        <v>1.6080000000000001</v>
      </c>
    </row>
    <row r="34" spans="1:17" x14ac:dyDescent="0.4">
      <c r="A34">
        <v>15</v>
      </c>
      <c r="B34">
        <v>1.921</v>
      </c>
      <c r="C34">
        <v>2.3879999999999999</v>
      </c>
      <c r="D34">
        <v>15</v>
      </c>
      <c r="E34">
        <v>1.859</v>
      </c>
      <c r="F34">
        <v>2.2559999999999998</v>
      </c>
      <c r="G34">
        <v>15</v>
      </c>
      <c r="H34">
        <v>2.2000000000000002</v>
      </c>
      <c r="J34">
        <v>15</v>
      </c>
      <c r="K34">
        <v>2.012</v>
      </c>
      <c r="L34">
        <v>2.536</v>
      </c>
      <c r="M34">
        <v>15</v>
      </c>
      <c r="N34">
        <v>1.6890000000000001</v>
      </c>
      <c r="P34">
        <v>15</v>
      </c>
      <c r="Q34">
        <v>1.6160000000000001</v>
      </c>
    </row>
    <row r="35" spans="1:17" x14ac:dyDescent="0.4">
      <c r="A35">
        <v>16</v>
      </c>
      <c r="B35">
        <v>1.9179999999999999</v>
      </c>
      <c r="C35">
        <v>2.3780000000000001</v>
      </c>
      <c r="D35">
        <v>16</v>
      </c>
      <c r="E35">
        <v>1.859</v>
      </c>
      <c r="F35">
        <v>2.266</v>
      </c>
      <c r="G35">
        <v>16</v>
      </c>
      <c r="H35">
        <v>2.2069999999999999</v>
      </c>
      <c r="J35">
        <v>16</v>
      </c>
      <c r="K35">
        <v>2.0209999999999999</v>
      </c>
      <c r="L35">
        <v>2.5110000000000001</v>
      </c>
      <c r="M35">
        <v>16</v>
      </c>
      <c r="N35">
        <v>1.6890000000000001</v>
      </c>
      <c r="P35">
        <v>16</v>
      </c>
      <c r="Q35">
        <v>1.6080000000000001</v>
      </c>
    </row>
    <row r="36" spans="1:17" x14ac:dyDescent="0.4">
      <c r="A36">
        <v>16</v>
      </c>
      <c r="B36">
        <v>1.921</v>
      </c>
      <c r="C36">
        <v>2.3780000000000001</v>
      </c>
      <c r="D36">
        <v>16</v>
      </c>
      <c r="E36">
        <v>1.869</v>
      </c>
      <c r="F36">
        <v>2.2519999999999998</v>
      </c>
      <c r="G36">
        <v>16</v>
      </c>
      <c r="H36">
        <v>2.2000000000000002</v>
      </c>
      <c r="J36">
        <v>16</v>
      </c>
      <c r="K36">
        <v>2.024</v>
      </c>
      <c r="L36">
        <v>2.5259999999999998</v>
      </c>
      <c r="M36">
        <v>16</v>
      </c>
      <c r="N36">
        <v>1.6990000000000001</v>
      </c>
      <c r="P36">
        <v>16</v>
      </c>
      <c r="Q36">
        <v>1.6080000000000001</v>
      </c>
    </row>
    <row r="37" spans="1:17" x14ac:dyDescent="0.4">
      <c r="A37">
        <v>17</v>
      </c>
      <c r="B37">
        <v>1.921</v>
      </c>
      <c r="C37">
        <v>2.3719999999999999</v>
      </c>
      <c r="D37">
        <v>17</v>
      </c>
      <c r="E37">
        <v>1.869</v>
      </c>
      <c r="F37">
        <v>2.2559999999999998</v>
      </c>
      <c r="G37">
        <v>17</v>
      </c>
      <c r="H37">
        <v>2.2000000000000002</v>
      </c>
      <c r="J37">
        <v>17</v>
      </c>
      <c r="K37">
        <v>2.016</v>
      </c>
      <c r="L37">
        <v>2.5259999999999998</v>
      </c>
      <c r="M37">
        <v>17</v>
      </c>
      <c r="N37">
        <v>1.68</v>
      </c>
      <c r="P37">
        <v>17</v>
      </c>
      <c r="Q37">
        <v>1.6180000000000001</v>
      </c>
    </row>
    <row r="38" spans="1:17" x14ac:dyDescent="0.4">
      <c r="A38">
        <v>17</v>
      </c>
      <c r="B38">
        <v>1.911</v>
      </c>
      <c r="C38">
        <v>2.3780000000000001</v>
      </c>
      <c r="D38">
        <v>17</v>
      </c>
      <c r="E38">
        <v>1.869</v>
      </c>
      <c r="F38">
        <v>2.2559999999999998</v>
      </c>
      <c r="G38">
        <v>17</v>
      </c>
      <c r="H38">
        <v>2.2069999999999999</v>
      </c>
      <c r="J38">
        <v>17</v>
      </c>
      <c r="K38">
        <v>2.0209999999999999</v>
      </c>
      <c r="L38">
        <v>2.5259999999999998</v>
      </c>
      <c r="M38">
        <v>17</v>
      </c>
      <c r="N38">
        <v>1.6859999999999999</v>
      </c>
      <c r="P38">
        <v>17</v>
      </c>
      <c r="Q38">
        <v>1.6180000000000001</v>
      </c>
    </row>
    <row r="39" spans="1:17" x14ac:dyDescent="0.4">
      <c r="A39">
        <v>18</v>
      </c>
      <c r="B39">
        <v>1.921</v>
      </c>
      <c r="C39">
        <v>2.3780000000000001</v>
      </c>
      <c r="D39">
        <v>18</v>
      </c>
      <c r="E39">
        <v>1.859</v>
      </c>
      <c r="F39">
        <v>2.246</v>
      </c>
      <c r="G39">
        <v>18</v>
      </c>
      <c r="H39">
        <v>2.2069999999999999</v>
      </c>
      <c r="J39">
        <v>18</v>
      </c>
      <c r="K39">
        <v>2.0209999999999999</v>
      </c>
      <c r="L39">
        <v>2.536</v>
      </c>
      <c r="M39">
        <v>18</v>
      </c>
      <c r="N39">
        <v>1.673</v>
      </c>
      <c r="P39">
        <v>18</v>
      </c>
      <c r="Q39">
        <v>1.6180000000000001</v>
      </c>
    </row>
    <row r="40" spans="1:17" x14ac:dyDescent="0.4">
      <c r="A40">
        <v>18</v>
      </c>
      <c r="B40">
        <v>1.9279999999999999</v>
      </c>
      <c r="C40">
        <v>2.3820000000000001</v>
      </c>
      <c r="D40">
        <v>18</v>
      </c>
      <c r="E40">
        <v>1.859</v>
      </c>
      <c r="F40">
        <v>2.246</v>
      </c>
      <c r="G40">
        <v>18</v>
      </c>
      <c r="H40">
        <v>2.2109999999999999</v>
      </c>
      <c r="J40">
        <v>18</v>
      </c>
      <c r="K40">
        <v>2.0209999999999999</v>
      </c>
      <c r="L40">
        <v>2.5459999999999998</v>
      </c>
      <c r="M40">
        <v>18</v>
      </c>
      <c r="N40">
        <v>1.673</v>
      </c>
      <c r="P40">
        <v>18</v>
      </c>
      <c r="Q40">
        <v>1.6180000000000001</v>
      </c>
    </row>
    <row r="41" spans="1:17" x14ac:dyDescent="0.4">
      <c r="A41">
        <v>19</v>
      </c>
      <c r="B41">
        <v>1.921</v>
      </c>
      <c r="C41">
        <v>2.3780000000000001</v>
      </c>
      <c r="D41">
        <v>19</v>
      </c>
      <c r="E41">
        <v>1.849</v>
      </c>
      <c r="F41">
        <v>2.25</v>
      </c>
      <c r="G41">
        <v>19</v>
      </c>
      <c r="H41">
        <v>2.2109999999999999</v>
      </c>
      <c r="J41">
        <v>19</v>
      </c>
      <c r="K41">
        <v>2.0310000000000001</v>
      </c>
      <c r="L41">
        <v>2.5259999999999998</v>
      </c>
      <c r="M41">
        <v>19</v>
      </c>
      <c r="N41">
        <v>1.673</v>
      </c>
      <c r="P41">
        <v>19</v>
      </c>
      <c r="Q41">
        <v>1.605</v>
      </c>
    </row>
    <row r="42" spans="1:17" x14ac:dyDescent="0.4">
      <c r="A42">
        <v>19</v>
      </c>
      <c r="B42">
        <v>1.921</v>
      </c>
      <c r="C42">
        <v>2.3919999999999999</v>
      </c>
      <c r="D42">
        <v>19</v>
      </c>
      <c r="E42">
        <v>1.849</v>
      </c>
      <c r="F42">
        <v>2.25</v>
      </c>
      <c r="G42">
        <v>19</v>
      </c>
      <c r="H42">
        <v>2.2109999999999999</v>
      </c>
      <c r="J42">
        <v>19</v>
      </c>
      <c r="K42">
        <v>2.0310000000000001</v>
      </c>
      <c r="L42">
        <v>2.5259999999999998</v>
      </c>
      <c r="M42">
        <v>19</v>
      </c>
      <c r="N42">
        <v>1.6859999999999999</v>
      </c>
      <c r="P42">
        <v>19</v>
      </c>
      <c r="Q42">
        <v>1.605</v>
      </c>
    </row>
    <row r="43" spans="1:17" x14ac:dyDescent="0.4">
      <c r="A43">
        <v>20</v>
      </c>
      <c r="B43">
        <v>1.921</v>
      </c>
      <c r="C43">
        <v>2.3820000000000001</v>
      </c>
      <c r="D43">
        <v>20</v>
      </c>
      <c r="E43">
        <v>1.859</v>
      </c>
      <c r="F43">
        <v>2.2370000000000001</v>
      </c>
      <c r="G43">
        <v>20</v>
      </c>
      <c r="H43">
        <v>2.2069999999999999</v>
      </c>
      <c r="J43">
        <v>20</v>
      </c>
      <c r="K43">
        <v>2.016</v>
      </c>
      <c r="L43">
        <v>2.5259999999999998</v>
      </c>
      <c r="M43">
        <v>20</v>
      </c>
      <c r="N43">
        <v>1.6830000000000001</v>
      </c>
      <c r="P43">
        <v>20</v>
      </c>
      <c r="Q43">
        <v>1.605</v>
      </c>
    </row>
    <row r="44" spans="1:17" x14ac:dyDescent="0.4">
      <c r="A44">
        <v>20</v>
      </c>
      <c r="B44">
        <v>1.921</v>
      </c>
      <c r="C44">
        <v>2.3820000000000001</v>
      </c>
      <c r="D44">
        <v>20</v>
      </c>
      <c r="E44">
        <v>1.859</v>
      </c>
      <c r="F44">
        <v>2.2559999999999998</v>
      </c>
      <c r="G44">
        <v>20</v>
      </c>
      <c r="H44">
        <v>2.2170000000000001</v>
      </c>
      <c r="J44">
        <v>20</v>
      </c>
      <c r="K44">
        <v>2.0209999999999999</v>
      </c>
      <c r="L44">
        <v>2.5259999999999998</v>
      </c>
      <c r="M44">
        <v>20</v>
      </c>
      <c r="N44">
        <v>1.6859999999999999</v>
      </c>
      <c r="P44">
        <v>20</v>
      </c>
      <c r="Q44">
        <v>1.605</v>
      </c>
    </row>
    <row r="45" spans="1:17" x14ac:dyDescent="0.4">
      <c r="A45">
        <v>21</v>
      </c>
      <c r="B45">
        <v>1.921</v>
      </c>
      <c r="C45">
        <v>2.3919999999999999</v>
      </c>
      <c r="D45">
        <v>21</v>
      </c>
      <c r="E45">
        <v>1.859</v>
      </c>
      <c r="F45">
        <v>2.2559999999999998</v>
      </c>
      <c r="G45">
        <v>21</v>
      </c>
      <c r="H45">
        <v>2.2210000000000001</v>
      </c>
      <c r="J45">
        <v>21</v>
      </c>
      <c r="K45">
        <v>2.0209999999999999</v>
      </c>
      <c r="L45">
        <v>2.5259999999999998</v>
      </c>
      <c r="M45">
        <v>21</v>
      </c>
      <c r="N45">
        <v>1.6830000000000001</v>
      </c>
      <c r="P45">
        <v>21</v>
      </c>
      <c r="Q45">
        <v>1.6180000000000001</v>
      </c>
    </row>
    <row r="46" spans="1:17" x14ac:dyDescent="0.4">
      <c r="A46">
        <v>21</v>
      </c>
      <c r="B46">
        <v>1.9179999999999999</v>
      </c>
      <c r="C46">
        <v>2.3820000000000001</v>
      </c>
      <c r="D46">
        <v>21</v>
      </c>
      <c r="E46">
        <v>1.859</v>
      </c>
      <c r="F46">
        <v>2.2410000000000001</v>
      </c>
      <c r="G46">
        <v>21</v>
      </c>
      <c r="H46">
        <v>2.2210000000000001</v>
      </c>
      <c r="J46">
        <v>21</v>
      </c>
      <c r="K46">
        <v>2.0310000000000001</v>
      </c>
      <c r="L46">
        <v>2.536</v>
      </c>
      <c r="M46">
        <v>21</v>
      </c>
      <c r="N46">
        <v>1.6890000000000001</v>
      </c>
      <c r="P46">
        <v>21</v>
      </c>
      <c r="Q46">
        <v>1.6180000000000001</v>
      </c>
    </row>
    <row r="47" spans="1:17" x14ac:dyDescent="0.4">
      <c r="A47">
        <v>22</v>
      </c>
      <c r="B47">
        <v>1.9179999999999999</v>
      </c>
      <c r="C47">
        <v>2.3919999999999999</v>
      </c>
      <c r="D47">
        <v>22</v>
      </c>
      <c r="E47">
        <v>1.859</v>
      </c>
      <c r="F47">
        <v>2.2559999999999998</v>
      </c>
      <c r="G47">
        <v>22</v>
      </c>
      <c r="H47">
        <v>2.2109999999999999</v>
      </c>
      <c r="J47">
        <v>22</v>
      </c>
      <c r="K47">
        <v>2.0209999999999999</v>
      </c>
      <c r="L47">
        <v>2.5259999999999998</v>
      </c>
      <c r="M47">
        <v>22</v>
      </c>
      <c r="N47">
        <v>1.6890000000000001</v>
      </c>
      <c r="P47">
        <v>22</v>
      </c>
      <c r="Q47">
        <v>1.6180000000000001</v>
      </c>
    </row>
    <row r="48" spans="1:17" x14ac:dyDescent="0.4">
      <c r="A48">
        <v>22</v>
      </c>
      <c r="B48">
        <v>1.921</v>
      </c>
      <c r="C48">
        <v>2.3780000000000001</v>
      </c>
      <c r="D48">
        <v>22</v>
      </c>
      <c r="E48">
        <v>1.859</v>
      </c>
      <c r="F48">
        <v>2.2559999999999998</v>
      </c>
      <c r="G48">
        <v>22</v>
      </c>
      <c r="H48">
        <v>2.2109999999999999</v>
      </c>
      <c r="J48">
        <v>22</v>
      </c>
      <c r="K48">
        <v>2.016</v>
      </c>
      <c r="L48">
        <v>2.5259999999999998</v>
      </c>
      <c r="M48">
        <v>22</v>
      </c>
      <c r="N48">
        <v>1.6859999999999999</v>
      </c>
      <c r="P48">
        <v>22</v>
      </c>
      <c r="Q48">
        <v>1.6160000000000001</v>
      </c>
    </row>
    <row r="49" spans="1:17" x14ac:dyDescent="0.4">
      <c r="A49">
        <v>23</v>
      </c>
      <c r="B49">
        <v>1.911</v>
      </c>
      <c r="C49">
        <v>2.3780000000000001</v>
      </c>
      <c r="D49">
        <v>23</v>
      </c>
      <c r="E49">
        <v>1.859</v>
      </c>
      <c r="F49">
        <v>2.246</v>
      </c>
      <c r="G49">
        <v>23</v>
      </c>
      <c r="H49">
        <v>2.2069999999999999</v>
      </c>
      <c r="J49">
        <v>23</v>
      </c>
      <c r="K49">
        <v>2.016</v>
      </c>
      <c r="L49">
        <v>2.536</v>
      </c>
      <c r="M49">
        <v>23</v>
      </c>
      <c r="N49">
        <v>1.6859999999999999</v>
      </c>
      <c r="P49">
        <v>23</v>
      </c>
      <c r="Q49">
        <v>1.605</v>
      </c>
    </row>
    <row r="50" spans="1:17" x14ac:dyDescent="0.4">
      <c r="A50">
        <v>23</v>
      </c>
      <c r="B50">
        <v>1.911</v>
      </c>
      <c r="C50">
        <v>2.3820000000000001</v>
      </c>
      <c r="D50">
        <v>23</v>
      </c>
      <c r="E50">
        <v>1.855</v>
      </c>
      <c r="F50">
        <v>2.246</v>
      </c>
      <c r="G50">
        <v>23</v>
      </c>
      <c r="H50">
        <v>2.2109999999999999</v>
      </c>
      <c r="J50">
        <v>23</v>
      </c>
      <c r="K50">
        <v>2.016</v>
      </c>
      <c r="L50">
        <v>2.536</v>
      </c>
      <c r="M50">
        <v>23</v>
      </c>
      <c r="N50">
        <v>1.6990000000000001</v>
      </c>
      <c r="P50">
        <v>23</v>
      </c>
      <c r="Q50">
        <v>1.605</v>
      </c>
    </row>
    <row r="51" spans="1:17" x14ac:dyDescent="0.4">
      <c r="A51">
        <v>24</v>
      </c>
      <c r="B51">
        <v>1.921</v>
      </c>
      <c r="C51">
        <v>2.3780000000000001</v>
      </c>
      <c r="D51">
        <v>24</v>
      </c>
      <c r="E51">
        <v>1.849</v>
      </c>
      <c r="F51">
        <v>2.2559999999999998</v>
      </c>
      <c r="G51">
        <v>24</v>
      </c>
      <c r="H51">
        <v>2.2109999999999999</v>
      </c>
      <c r="J51">
        <v>24</v>
      </c>
      <c r="K51">
        <v>2.016</v>
      </c>
      <c r="L51">
        <v>2.536</v>
      </c>
      <c r="M51">
        <v>24</v>
      </c>
      <c r="N51">
        <v>1.6890000000000001</v>
      </c>
      <c r="P51">
        <v>24</v>
      </c>
      <c r="Q51">
        <v>1.605</v>
      </c>
    </row>
    <row r="52" spans="1:17" x14ac:dyDescent="0.4">
      <c r="A52">
        <v>24</v>
      </c>
      <c r="B52">
        <v>1.921</v>
      </c>
      <c r="C52">
        <v>2.3780000000000001</v>
      </c>
      <c r="D52">
        <v>24</v>
      </c>
      <c r="E52">
        <v>1.859</v>
      </c>
      <c r="F52">
        <v>2.246</v>
      </c>
      <c r="G52">
        <v>24</v>
      </c>
      <c r="H52">
        <v>2.2109999999999999</v>
      </c>
      <c r="J52">
        <v>24</v>
      </c>
      <c r="K52">
        <v>2.0209999999999999</v>
      </c>
      <c r="L52">
        <v>2.5259999999999998</v>
      </c>
      <c r="M52">
        <v>24</v>
      </c>
      <c r="N52">
        <v>1.6890000000000001</v>
      </c>
      <c r="P52">
        <v>24</v>
      </c>
      <c r="Q52">
        <v>1.6180000000000001</v>
      </c>
    </row>
    <row r="53" spans="1:17" x14ac:dyDescent="0.4">
      <c r="A53">
        <v>25</v>
      </c>
      <c r="B53">
        <v>1.9179999999999999</v>
      </c>
      <c r="C53">
        <v>2.3780000000000001</v>
      </c>
      <c r="D53">
        <v>25</v>
      </c>
      <c r="E53">
        <v>1.855</v>
      </c>
      <c r="F53">
        <v>2.25</v>
      </c>
      <c r="G53">
        <v>25</v>
      </c>
      <c r="H53">
        <v>2.2109999999999999</v>
      </c>
      <c r="J53">
        <v>25</v>
      </c>
      <c r="K53">
        <v>2.0209999999999999</v>
      </c>
      <c r="L53">
        <v>2.5259999999999998</v>
      </c>
      <c r="M53">
        <v>25</v>
      </c>
      <c r="N53">
        <v>1.6890000000000001</v>
      </c>
      <c r="P53">
        <v>25</v>
      </c>
      <c r="Q53">
        <v>1.6160000000000001</v>
      </c>
    </row>
    <row r="54" spans="1:17" x14ac:dyDescent="0.4">
      <c r="A54">
        <v>25</v>
      </c>
      <c r="B54">
        <v>1.9179999999999999</v>
      </c>
      <c r="C54">
        <v>2.3780000000000001</v>
      </c>
      <c r="D54">
        <v>25</v>
      </c>
      <c r="E54">
        <v>1.855</v>
      </c>
      <c r="F54">
        <v>2.2559999999999998</v>
      </c>
      <c r="G54">
        <v>25</v>
      </c>
      <c r="H54">
        <v>2.2069999999999999</v>
      </c>
      <c r="J54">
        <v>25</v>
      </c>
      <c r="K54">
        <v>2.0209999999999999</v>
      </c>
      <c r="L54">
        <v>2.5310000000000001</v>
      </c>
      <c r="M54">
        <v>25</v>
      </c>
      <c r="N54">
        <v>1.6890000000000001</v>
      </c>
      <c r="P54">
        <v>25</v>
      </c>
      <c r="Q54">
        <v>1.6160000000000001</v>
      </c>
    </row>
    <row r="55" spans="1:17" x14ac:dyDescent="0.4">
      <c r="A55">
        <v>26</v>
      </c>
      <c r="B55">
        <v>1.931</v>
      </c>
      <c r="C55">
        <v>2.3780000000000001</v>
      </c>
      <c r="D55">
        <v>26</v>
      </c>
      <c r="E55">
        <v>1.855</v>
      </c>
      <c r="F55">
        <v>2.2559999999999998</v>
      </c>
      <c r="G55">
        <v>26</v>
      </c>
      <c r="H55">
        <v>2.2069999999999999</v>
      </c>
      <c r="J55">
        <v>26</v>
      </c>
      <c r="K55">
        <v>2.0209999999999999</v>
      </c>
      <c r="L55">
        <v>2.536</v>
      </c>
      <c r="M55">
        <v>26</v>
      </c>
      <c r="N55">
        <v>1.6830000000000001</v>
      </c>
      <c r="P55">
        <v>26</v>
      </c>
      <c r="Q55">
        <v>1.6180000000000001</v>
      </c>
    </row>
    <row r="56" spans="1:17" x14ac:dyDescent="0.4">
      <c r="A56">
        <v>26</v>
      </c>
      <c r="B56">
        <v>1.921</v>
      </c>
      <c r="C56">
        <v>2.3780000000000001</v>
      </c>
      <c r="D56">
        <v>26</v>
      </c>
      <c r="E56">
        <v>1.859</v>
      </c>
      <c r="F56">
        <v>2.246</v>
      </c>
      <c r="G56">
        <v>26</v>
      </c>
      <c r="H56">
        <v>2.2109999999999999</v>
      </c>
      <c r="J56">
        <v>26</v>
      </c>
      <c r="K56">
        <v>2.0169999999999999</v>
      </c>
      <c r="L56">
        <v>2.536</v>
      </c>
      <c r="M56">
        <v>26</v>
      </c>
      <c r="N56">
        <v>1.6890000000000001</v>
      </c>
      <c r="P56">
        <v>26</v>
      </c>
      <c r="Q56">
        <v>1.605</v>
      </c>
    </row>
    <row r="57" spans="1:17" x14ac:dyDescent="0.4">
      <c r="A57">
        <v>27</v>
      </c>
      <c r="B57">
        <v>1.921</v>
      </c>
      <c r="C57">
        <v>2.3820000000000001</v>
      </c>
      <c r="D57">
        <v>27</v>
      </c>
      <c r="E57">
        <v>1.849</v>
      </c>
      <c r="F57">
        <v>2.246</v>
      </c>
      <c r="G57">
        <v>27</v>
      </c>
      <c r="H57">
        <v>2.1970000000000001</v>
      </c>
      <c r="J57">
        <v>27</v>
      </c>
      <c r="K57">
        <v>2.0049999999999999</v>
      </c>
      <c r="L57">
        <v>2.536</v>
      </c>
      <c r="M57">
        <v>27</v>
      </c>
      <c r="N57">
        <v>1.6890000000000001</v>
      </c>
      <c r="P57">
        <v>27</v>
      </c>
      <c r="Q57">
        <v>1.6080000000000001</v>
      </c>
    </row>
    <row r="58" spans="1:17" x14ac:dyDescent="0.4">
      <c r="A58">
        <v>27</v>
      </c>
      <c r="B58">
        <v>1.921</v>
      </c>
      <c r="C58">
        <v>2.3679999999999999</v>
      </c>
      <c r="D58">
        <v>27</v>
      </c>
      <c r="E58">
        <v>1.849</v>
      </c>
      <c r="F58">
        <v>2.266</v>
      </c>
      <c r="G58">
        <v>27</v>
      </c>
      <c r="H58">
        <v>2.1970000000000001</v>
      </c>
      <c r="J58">
        <v>27</v>
      </c>
      <c r="K58">
        <v>2.016</v>
      </c>
      <c r="L58">
        <v>2.5209999999999999</v>
      </c>
      <c r="M58">
        <v>27</v>
      </c>
      <c r="N58">
        <v>1.6890000000000001</v>
      </c>
      <c r="P58">
        <v>27</v>
      </c>
      <c r="Q58">
        <v>1.6080000000000001</v>
      </c>
    </row>
    <row r="59" spans="1:17" x14ac:dyDescent="0.4">
      <c r="A59">
        <v>28</v>
      </c>
      <c r="B59">
        <v>1.911</v>
      </c>
      <c r="C59">
        <v>2.3879999999999999</v>
      </c>
      <c r="D59">
        <v>28</v>
      </c>
      <c r="E59">
        <v>1.859</v>
      </c>
      <c r="F59">
        <v>2.2559999999999998</v>
      </c>
      <c r="G59">
        <v>28</v>
      </c>
      <c r="H59">
        <v>2.1970000000000001</v>
      </c>
      <c r="J59">
        <v>28</v>
      </c>
      <c r="K59">
        <v>2.0209999999999999</v>
      </c>
      <c r="L59">
        <v>2.5310000000000001</v>
      </c>
      <c r="M59">
        <v>28</v>
      </c>
      <c r="N59">
        <v>1.6990000000000001</v>
      </c>
      <c r="P59">
        <v>28</v>
      </c>
      <c r="Q59">
        <v>1.6180000000000001</v>
      </c>
    </row>
    <row r="60" spans="1:17" x14ac:dyDescent="0.4">
      <c r="A60">
        <v>28</v>
      </c>
      <c r="B60">
        <v>1.9079999999999999</v>
      </c>
      <c r="C60">
        <v>2.3820000000000001</v>
      </c>
      <c r="D60">
        <v>28</v>
      </c>
      <c r="E60">
        <v>1.869</v>
      </c>
      <c r="F60">
        <v>2.2559999999999998</v>
      </c>
      <c r="G60">
        <v>28</v>
      </c>
      <c r="H60">
        <v>2.2109999999999999</v>
      </c>
      <c r="J60">
        <v>28</v>
      </c>
      <c r="K60">
        <v>2.0209999999999999</v>
      </c>
      <c r="L60">
        <v>2.5310000000000001</v>
      </c>
      <c r="M60">
        <v>28</v>
      </c>
      <c r="N60">
        <v>1.6990000000000001</v>
      </c>
      <c r="P60">
        <v>28</v>
      </c>
      <c r="Q60">
        <v>1.6180000000000001</v>
      </c>
    </row>
    <row r="61" spans="1:17" x14ac:dyDescent="0.4">
      <c r="A61">
        <v>29</v>
      </c>
      <c r="B61">
        <v>1.921</v>
      </c>
      <c r="C61">
        <v>2.3780000000000001</v>
      </c>
      <c r="D61">
        <v>29</v>
      </c>
      <c r="E61">
        <v>1.859</v>
      </c>
      <c r="F61">
        <v>2.2559999999999998</v>
      </c>
      <c r="G61">
        <v>29</v>
      </c>
      <c r="H61">
        <v>2.2170000000000001</v>
      </c>
      <c r="J61">
        <v>29</v>
      </c>
      <c r="K61">
        <v>2.0169999999999999</v>
      </c>
      <c r="L61">
        <v>2.536</v>
      </c>
      <c r="M61">
        <v>29</v>
      </c>
      <c r="N61">
        <v>1.6890000000000001</v>
      </c>
      <c r="P61">
        <v>29</v>
      </c>
      <c r="Q61">
        <v>1.6080000000000001</v>
      </c>
    </row>
    <row r="62" spans="1:17" x14ac:dyDescent="0.4">
      <c r="A62">
        <v>29</v>
      </c>
      <c r="B62">
        <v>1.921</v>
      </c>
      <c r="C62">
        <v>2.3780000000000001</v>
      </c>
      <c r="D62">
        <v>29</v>
      </c>
      <c r="E62">
        <v>1.859</v>
      </c>
      <c r="F62">
        <v>2.2559999999999998</v>
      </c>
      <c r="G62">
        <v>29</v>
      </c>
      <c r="H62">
        <v>2.2109999999999999</v>
      </c>
      <c r="J62">
        <v>29</v>
      </c>
      <c r="K62">
        <v>2.0169999999999999</v>
      </c>
      <c r="L62">
        <v>2.536</v>
      </c>
      <c r="M62">
        <v>29</v>
      </c>
      <c r="N62">
        <v>1.6890000000000001</v>
      </c>
      <c r="P62">
        <v>29</v>
      </c>
      <c r="Q62">
        <v>1.6080000000000001</v>
      </c>
    </row>
    <row r="63" spans="1:17" x14ac:dyDescent="0.4">
      <c r="A63">
        <v>30</v>
      </c>
      <c r="B63">
        <v>1.921</v>
      </c>
      <c r="C63">
        <v>2.3719999999999999</v>
      </c>
      <c r="D63">
        <v>30</v>
      </c>
      <c r="E63">
        <v>1.849</v>
      </c>
      <c r="F63">
        <v>2.2559999999999998</v>
      </c>
      <c r="G63">
        <v>30</v>
      </c>
      <c r="H63">
        <v>2.2109999999999999</v>
      </c>
      <c r="J63">
        <v>30</v>
      </c>
      <c r="K63">
        <v>2.0019999999999998</v>
      </c>
      <c r="L63">
        <v>2.536</v>
      </c>
      <c r="M63">
        <v>30</v>
      </c>
      <c r="N63">
        <v>1.6890000000000001</v>
      </c>
      <c r="P63">
        <v>30</v>
      </c>
      <c r="Q63">
        <v>1.6180000000000001</v>
      </c>
    </row>
    <row r="64" spans="1:17" x14ac:dyDescent="0.4">
      <c r="A64">
        <v>30</v>
      </c>
      <c r="B64">
        <v>1.921</v>
      </c>
      <c r="C64">
        <v>2.3719999999999999</v>
      </c>
      <c r="D64">
        <v>30</v>
      </c>
      <c r="E64">
        <v>1.849</v>
      </c>
      <c r="F64">
        <v>2.2559999999999998</v>
      </c>
      <c r="G64">
        <v>30</v>
      </c>
      <c r="H64">
        <v>2.2109999999999999</v>
      </c>
      <c r="J64">
        <v>30</v>
      </c>
      <c r="K64">
        <v>2.0019999999999998</v>
      </c>
      <c r="L64">
        <v>2.536</v>
      </c>
      <c r="M64">
        <v>30</v>
      </c>
      <c r="N64">
        <v>1.6890000000000001</v>
      </c>
      <c r="P64">
        <v>30</v>
      </c>
      <c r="Q64">
        <v>1.6180000000000001</v>
      </c>
    </row>
    <row r="65" spans="2:17" x14ac:dyDescent="0.4">
      <c r="B65">
        <f>AVERAGE(B3:B64)</f>
        <v>1.9193709677419377</v>
      </c>
      <c r="C65">
        <f t="shared" ref="C65:Q65" si="0">AVERAGE(C3:C64)</f>
        <v>2.3798387096774194</v>
      </c>
      <c r="E65">
        <f t="shared" si="0"/>
        <v>1.8591451612903223</v>
      </c>
      <c r="F65">
        <f t="shared" si="0"/>
        <v>2.2529516129032259</v>
      </c>
      <c r="H65">
        <f t="shared" si="0"/>
        <v>2.2084516129032261</v>
      </c>
      <c r="K65">
        <f t="shared" si="0"/>
        <v>2.0189193548387103</v>
      </c>
      <c r="L65">
        <f t="shared" si="0"/>
        <v>2.5301129032258065</v>
      </c>
      <c r="N65">
        <f t="shared" si="0"/>
        <v>1.6870967741935479</v>
      </c>
      <c r="Q65">
        <f t="shared" si="0"/>
        <v>1.6117741935483867</v>
      </c>
    </row>
    <row r="68" spans="2:17" x14ac:dyDescent="0.4">
      <c r="G68" t="s">
        <v>208</v>
      </c>
    </row>
    <row r="69" spans="2:17" x14ac:dyDescent="0.4">
      <c r="G69" t="s">
        <v>188</v>
      </c>
      <c r="J69" t="s">
        <v>187</v>
      </c>
    </row>
    <row r="70" spans="2:17" x14ac:dyDescent="0.4">
      <c r="H70" t="s">
        <v>21</v>
      </c>
      <c r="I70" t="s">
        <v>22</v>
      </c>
      <c r="K70" t="s">
        <v>21</v>
      </c>
      <c r="L70" t="s">
        <v>22</v>
      </c>
    </row>
    <row r="71" spans="2:17" x14ac:dyDescent="0.4">
      <c r="G71">
        <v>0</v>
      </c>
      <c r="H71">
        <v>1.992</v>
      </c>
      <c r="J71">
        <v>0</v>
      </c>
      <c r="K71">
        <v>1.8080000000000001</v>
      </c>
      <c r="L71">
        <v>2.125</v>
      </c>
    </row>
    <row r="72" spans="2:17" x14ac:dyDescent="0.4">
      <c r="G72">
        <v>0</v>
      </c>
      <c r="H72">
        <v>1.982</v>
      </c>
      <c r="J72">
        <v>0</v>
      </c>
      <c r="K72">
        <v>1.7949999999999999</v>
      </c>
      <c r="L72">
        <v>2.125</v>
      </c>
    </row>
    <row r="73" spans="2:17" x14ac:dyDescent="0.4">
      <c r="G73">
        <v>1</v>
      </c>
      <c r="H73">
        <v>1.982</v>
      </c>
      <c r="J73">
        <v>1</v>
      </c>
      <c r="K73">
        <v>1.7949999999999999</v>
      </c>
      <c r="L73">
        <v>2.105</v>
      </c>
    </row>
    <row r="74" spans="2:17" x14ac:dyDescent="0.4">
      <c r="G74">
        <v>1</v>
      </c>
      <c r="H74">
        <v>1.992</v>
      </c>
      <c r="J74">
        <v>1</v>
      </c>
      <c r="K74">
        <v>1.7929999999999999</v>
      </c>
      <c r="L74">
        <v>2.1179999999999999</v>
      </c>
    </row>
    <row r="75" spans="2:17" x14ac:dyDescent="0.4">
      <c r="G75">
        <v>2</v>
      </c>
      <c r="H75">
        <v>1.992</v>
      </c>
      <c r="J75">
        <v>2</v>
      </c>
      <c r="K75">
        <v>1.798</v>
      </c>
      <c r="L75">
        <v>2.1080000000000001</v>
      </c>
    </row>
    <row r="76" spans="2:17" x14ac:dyDescent="0.4">
      <c r="G76">
        <v>2</v>
      </c>
      <c r="H76">
        <v>1.992</v>
      </c>
      <c r="J76">
        <v>2</v>
      </c>
      <c r="K76">
        <v>1.7949999999999999</v>
      </c>
      <c r="L76">
        <v>2.1080000000000001</v>
      </c>
    </row>
    <row r="77" spans="2:17" x14ac:dyDescent="0.4">
      <c r="G77">
        <v>3</v>
      </c>
      <c r="H77">
        <v>1.982</v>
      </c>
      <c r="J77">
        <v>3</v>
      </c>
      <c r="K77">
        <v>1.79</v>
      </c>
      <c r="L77">
        <v>2.1150000000000002</v>
      </c>
    </row>
    <row r="78" spans="2:17" x14ac:dyDescent="0.4">
      <c r="G78">
        <v>3</v>
      </c>
      <c r="H78">
        <v>1.978</v>
      </c>
      <c r="J78">
        <v>3</v>
      </c>
      <c r="K78">
        <v>1.79</v>
      </c>
      <c r="L78">
        <v>2.105</v>
      </c>
    </row>
    <row r="79" spans="2:17" x14ac:dyDescent="0.4">
      <c r="G79">
        <v>4</v>
      </c>
      <c r="H79">
        <v>2.0019999999999998</v>
      </c>
      <c r="J79">
        <v>4</v>
      </c>
      <c r="K79">
        <v>1.7949999999999999</v>
      </c>
      <c r="L79">
        <v>2.101</v>
      </c>
    </row>
    <row r="80" spans="2:17" x14ac:dyDescent="0.4">
      <c r="G80">
        <v>4</v>
      </c>
      <c r="H80">
        <v>1.992</v>
      </c>
      <c r="J80">
        <v>4</v>
      </c>
      <c r="K80">
        <v>1.798</v>
      </c>
      <c r="L80">
        <v>2.1080000000000001</v>
      </c>
    </row>
    <row r="81" spans="7:12" x14ac:dyDescent="0.4">
      <c r="G81">
        <v>5</v>
      </c>
      <c r="H81">
        <v>1.992</v>
      </c>
      <c r="J81">
        <v>5</v>
      </c>
      <c r="K81">
        <v>1.786</v>
      </c>
      <c r="L81">
        <v>2.1150000000000002</v>
      </c>
    </row>
    <row r="82" spans="7:12" x14ac:dyDescent="0.4">
      <c r="G82">
        <v>5</v>
      </c>
      <c r="H82">
        <v>1.992</v>
      </c>
      <c r="J82">
        <v>5</v>
      </c>
      <c r="K82">
        <v>1.7929999999999999</v>
      </c>
      <c r="L82">
        <v>2.1179999999999999</v>
      </c>
    </row>
    <row r="83" spans="7:12" x14ac:dyDescent="0.4">
      <c r="G83">
        <v>6</v>
      </c>
      <c r="H83">
        <v>1.988</v>
      </c>
      <c r="J83">
        <v>6</v>
      </c>
      <c r="K83">
        <v>1.7929999999999999</v>
      </c>
      <c r="L83">
        <v>2.1179999999999999</v>
      </c>
    </row>
    <row r="84" spans="7:12" x14ac:dyDescent="0.4">
      <c r="G84">
        <v>6</v>
      </c>
      <c r="H84">
        <v>1.988</v>
      </c>
      <c r="J84">
        <v>6</v>
      </c>
      <c r="K84">
        <v>1.79</v>
      </c>
      <c r="L84">
        <v>2.1080000000000001</v>
      </c>
    </row>
    <row r="85" spans="7:12" x14ac:dyDescent="0.4">
      <c r="G85">
        <v>7</v>
      </c>
      <c r="H85">
        <v>1.998</v>
      </c>
      <c r="J85">
        <v>7</v>
      </c>
      <c r="K85">
        <v>1.786</v>
      </c>
      <c r="L85">
        <v>2.1150000000000002</v>
      </c>
    </row>
    <row r="86" spans="7:12" x14ac:dyDescent="0.4">
      <c r="G86">
        <v>7</v>
      </c>
      <c r="H86">
        <v>1.992</v>
      </c>
      <c r="J86">
        <v>7</v>
      </c>
      <c r="K86">
        <v>1.7929999999999999</v>
      </c>
      <c r="L86">
        <v>2.1179999999999999</v>
      </c>
    </row>
    <row r="87" spans="7:12" x14ac:dyDescent="0.4">
      <c r="G87">
        <v>8</v>
      </c>
      <c r="H87">
        <v>1.992</v>
      </c>
      <c r="J87">
        <v>8</v>
      </c>
      <c r="K87">
        <v>1.79</v>
      </c>
      <c r="L87">
        <v>2.1080000000000001</v>
      </c>
    </row>
    <row r="88" spans="7:12" x14ac:dyDescent="0.4">
      <c r="G88">
        <v>8</v>
      </c>
      <c r="H88">
        <v>1.988</v>
      </c>
      <c r="J88">
        <v>8</v>
      </c>
      <c r="K88">
        <v>1.7929999999999999</v>
      </c>
      <c r="L88">
        <v>2.1080000000000001</v>
      </c>
    </row>
    <row r="89" spans="7:12" x14ac:dyDescent="0.4">
      <c r="G89">
        <v>9</v>
      </c>
      <c r="H89">
        <v>1.988</v>
      </c>
      <c r="J89">
        <v>9</v>
      </c>
      <c r="K89">
        <v>1.79</v>
      </c>
      <c r="L89">
        <v>2.1080000000000001</v>
      </c>
    </row>
    <row r="90" spans="7:12" x14ac:dyDescent="0.4">
      <c r="G90">
        <v>9</v>
      </c>
      <c r="H90">
        <v>1.992</v>
      </c>
      <c r="J90">
        <v>9</v>
      </c>
      <c r="K90">
        <v>1.7949999999999999</v>
      </c>
      <c r="L90">
        <v>2.1179999999999999</v>
      </c>
    </row>
    <row r="91" spans="7:12" x14ac:dyDescent="0.4">
      <c r="G91">
        <v>10</v>
      </c>
      <c r="H91">
        <v>1.988</v>
      </c>
      <c r="J91">
        <v>10</v>
      </c>
      <c r="K91">
        <v>1.8080000000000001</v>
      </c>
      <c r="L91">
        <v>2.1080000000000001</v>
      </c>
    </row>
    <row r="92" spans="7:12" x14ac:dyDescent="0.4">
      <c r="G92">
        <v>10</v>
      </c>
      <c r="H92">
        <v>1.988</v>
      </c>
      <c r="J92">
        <v>10</v>
      </c>
      <c r="K92">
        <v>1.7949999999999999</v>
      </c>
      <c r="L92">
        <v>2.1150000000000002</v>
      </c>
    </row>
    <row r="93" spans="7:12" x14ac:dyDescent="0.4">
      <c r="G93">
        <v>11</v>
      </c>
      <c r="H93">
        <v>2.0019999999999998</v>
      </c>
      <c r="J93">
        <v>11</v>
      </c>
      <c r="K93">
        <v>1.7949999999999999</v>
      </c>
      <c r="L93">
        <v>2.1179999999999999</v>
      </c>
    </row>
    <row r="94" spans="7:12" x14ac:dyDescent="0.4">
      <c r="G94">
        <v>11</v>
      </c>
      <c r="H94">
        <v>1.992</v>
      </c>
      <c r="J94">
        <v>11</v>
      </c>
      <c r="K94">
        <v>1.7949999999999999</v>
      </c>
      <c r="L94">
        <v>2.1150000000000002</v>
      </c>
    </row>
    <row r="95" spans="7:12" x14ac:dyDescent="0.4">
      <c r="G95">
        <v>12</v>
      </c>
      <c r="H95">
        <v>1.9990000000000001</v>
      </c>
      <c r="J95">
        <v>12</v>
      </c>
      <c r="K95">
        <v>1.798</v>
      </c>
      <c r="L95">
        <v>2.1150000000000002</v>
      </c>
    </row>
    <row r="96" spans="7:12" x14ac:dyDescent="0.4">
      <c r="G96">
        <v>12</v>
      </c>
      <c r="H96">
        <v>1.9990000000000001</v>
      </c>
      <c r="J96">
        <v>12</v>
      </c>
      <c r="K96">
        <v>1.798</v>
      </c>
      <c r="L96">
        <v>2.1179999999999999</v>
      </c>
    </row>
    <row r="97" spans="7:12" x14ac:dyDescent="0.4">
      <c r="G97">
        <v>13</v>
      </c>
      <c r="H97">
        <v>1.996</v>
      </c>
      <c r="J97">
        <v>13</v>
      </c>
      <c r="K97">
        <v>1.798</v>
      </c>
      <c r="L97">
        <v>2.1080000000000001</v>
      </c>
    </row>
    <row r="98" spans="7:12" x14ac:dyDescent="0.4">
      <c r="G98">
        <v>13</v>
      </c>
      <c r="H98">
        <v>1.996</v>
      </c>
      <c r="J98">
        <v>13</v>
      </c>
      <c r="K98">
        <v>1.7929999999999999</v>
      </c>
      <c r="L98">
        <v>2.1150000000000002</v>
      </c>
    </row>
    <row r="99" spans="7:12" x14ac:dyDescent="0.4">
      <c r="G99">
        <v>14</v>
      </c>
      <c r="H99">
        <v>1.992</v>
      </c>
      <c r="J99">
        <v>14</v>
      </c>
      <c r="K99">
        <v>1.798</v>
      </c>
      <c r="L99">
        <v>2.1080000000000001</v>
      </c>
    </row>
    <row r="100" spans="7:12" x14ac:dyDescent="0.4">
      <c r="G100">
        <v>14</v>
      </c>
      <c r="H100">
        <v>1.992</v>
      </c>
      <c r="J100">
        <v>14</v>
      </c>
      <c r="K100">
        <v>1.8080000000000001</v>
      </c>
      <c r="L100">
        <v>2.1150000000000002</v>
      </c>
    </row>
    <row r="101" spans="7:12" x14ac:dyDescent="0.4">
      <c r="G101">
        <v>15</v>
      </c>
      <c r="H101">
        <v>1.988</v>
      </c>
      <c r="J101">
        <v>15</v>
      </c>
      <c r="K101">
        <v>1.8049999999999999</v>
      </c>
      <c r="L101">
        <v>2.105</v>
      </c>
    </row>
    <row r="102" spans="7:12" x14ac:dyDescent="0.4">
      <c r="G102">
        <v>15</v>
      </c>
      <c r="H102">
        <v>2.0019999999999998</v>
      </c>
      <c r="J102">
        <v>15</v>
      </c>
      <c r="K102">
        <v>1.8049999999999999</v>
      </c>
      <c r="L102">
        <v>2.105</v>
      </c>
    </row>
    <row r="103" spans="7:12" x14ac:dyDescent="0.4">
      <c r="G103">
        <v>16</v>
      </c>
      <c r="H103">
        <v>2.0019999999999998</v>
      </c>
      <c r="J103">
        <v>16</v>
      </c>
      <c r="K103">
        <v>1.7949999999999999</v>
      </c>
      <c r="L103">
        <v>2.1150000000000002</v>
      </c>
    </row>
    <row r="104" spans="7:12" x14ac:dyDescent="0.4">
      <c r="G104">
        <v>16</v>
      </c>
      <c r="H104">
        <v>1.982</v>
      </c>
      <c r="J104">
        <v>16</v>
      </c>
      <c r="K104">
        <v>1.7929999999999999</v>
      </c>
      <c r="L104">
        <v>2.1150000000000002</v>
      </c>
    </row>
    <row r="105" spans="7:12" x14ac:dyDescent="0.4">
      <c r="G105">
        <v>17</v>
      </c>
      <c r="H105">
        <v>1.992</v>
      </c>
      <c r="J105">
        <v>17</v>
      </c>
      <c r="K105">
        <v>1.7949999999999999</v>
      </c>
      <c r="L105">
        <v>2.1179999999999999</v>
      </c>
    </row>
    <row r="106" spans="7:12" x14ac:dyDescent="0.4">
      <c r="G106">
        <v>17</v>
      </c>
      <c r="H106">
        <v>1.992</v>
      </c>
      <c r="J106">
        <v>17</v>
      </c>
      <c r="K106">
        <v>1.7929999999999999</v>
      </c>
      <c r="L106">
        <v>2.1179999999999999</v>
      </c>
    </row>
    <row r="107" spans="7:12" x14ac:dyDescent="0.4">
      <c r="G107">
        <v>18</v>
      </c>
      <c r="H107">
        <v>1.992</v>
      </c>
      <c r="J107">
        <v>18</v>
      </c>
      <c r="K107">
        <v>1.7929999999999999</v>
      </c>
      <c r="L107">
        <v>2.1179999999999999</v>
      </c>
    </row>
    <row r="108" spans="7:12" x14ac:dyDescent="0.4">
      <c r="G108">
        <v>18</v>
      </c>
      <c r="H108">
        <v>1.9990000000000001</v>
      </c>
      <c r="J108">
        <v>18</v>
      </c>
      <c r="K108">
        <v>1.7929999999999999</v>
      </c>
      <c r="L108">
        <v>2.1150000000000002</v>
      </c>
    </row>
    <row r="109" spans="7:12" x14ac:dyDescent="0.4">
      <c r="G109">
        <v>19</v>
      </c>
      <c r="H109">
        <v>1.978</v>
      </c>
      <c r="J109">
        <v>19</v>
      </c>
      <c r="K109">
        <v>1.796</v>
      </c>
      <c r="L109">
        <v>2.1110000000000002</v>
      </c>
    </row>
    <row r="110" spans="7:12" x14ac:dyDescent="0.4">
      <c r="G110">
        <v>19</v>
      </c>
      <c r="H110">
        <v>1.982</v>
      </c>
      <c r="J110">
        <v>19</v>
      </c>
      <c r="K110">
        <v>1.798</v>
      </c>
      <c r="L110">
        <v>2.1080000000000001</v>
      </c>
    </row>
    <row r="111" spans="7:12" x14ac:dyDescent="0.4">
      <c r="G111">
        <v>20</v>
      </c>
      <c r="H111">
        <v>1.982</v>
      </c>
      <c r="J111">
        <v>20</v>
      </c>
      <c r="K111">
        <v>1.7949999999999999</v>
      </c>
      <c r="L111">
        <v>2.105</v>
      </c>
    </row>
    <row r="112" spans="7:12" x14ac:dyDescent="0.4">
      <c r="G112">
        <v>20</v>
      </c>
      <c r="H112">
        <v>1.982</v>
      </c>
      <c r="J112">
        <v>20</v>
      </c>
      <c r="K112">
        <v>1.798</v>
      </c>
      <c r="L112">
        <v>2.1150000000000002</v>
      </c>
    </row>
    <row r="113" spans="7:12" x14ac:dyDescent="0.4">
      <c r="G113">
        <v>21</v>
      </c>
      <c r="H113">
        <v>1.988</v>
      </c>
      <c r="J113">
        <v>21</v>
      </c>
      <c r="K113">
        <v>1.7929999999999999</v>
      </c>
      <c r="L113">
        <v>2.1150000000000002</v>
      </c>
    </row>
    <row r="114" spans="7:12" x14ac:dyDescent="0.4">
      <c r="G114">
        <v>21</v>
      </c>
      <c r="H114">
        <v>2.0019999999999998</v>
      </c>
      <c r="J114">
        <v>21</v>
      </c>
      <c r="K114">
        <v>1.7929999999999999</v>
      </c>
      <c r="L114">
        <v>2.1179999999999999</v>
      </c>
    </row>
    <row r="115" spans="7:12" x14ac:dyDescent="0.4">
      <c r="G115">
        <v>22</v>
      </c>
      <c r="H115">
        <v>1.988</v>
      </c>
      <c r="J115">
        <v>22</v>
      </c>
      <c r="K115">
        <v>1.7949999999999999</v>
      </c>
      <c r="L115">
        <v>2.1150000000000002</v>
      </c>
    </row>
    <row r="116" spans="7:12" x14ac:dyDescent="0.4">
      <c r="G116">
        <v>22</v>
      </c>
      <c r="H116">
        <v>1.982</v>
      </c>
      <c r="J116">
        <v>22</v>
      </c>
      <c r="K116">
        <v>1.798</v>
      </c>
      <c r="L116">
        <v>2.105</v>
      </c>
    </row>
    <row r="117" spans="7:12" x14ac:dyDescent="0.4">
      <c r="G117">
        <v>23</v>
      </c>
      <c r="H117">
        <v>1.992</v>
      </c>
      <c r="J117">
        <v>23</v>
      </c>
      <c r="K117">
        <v>1.7949999999999999</v>
      </c>
      <c r="L117">
        <v>2.1150000000000002</v>
      </c>
    </row>
    <row r="118" spans="7:12" x14ac:dyDescent="0.4">
      <c r="G118">
        <v>23</v>
      </c>
      <c r="H118">
        <v>1.992</v>
      </c>
      <c r="J118">
        <v>23</v>
      </c>
      <c r="K118">
        <v>1.8049999999999999</v>
      </c>
      <c r="L118">
        <v>2.1150000000000002</v>
      </c>
    </row>
    <row r="119" spans="7:12" x14ac:dyDescent="0.4">
      <c r="G119">
        <v>24</v>
      </c>
      <c r="H119">
        <v>1.992</v>
      </c>
      <c r="J119">
        <v>24</v>
      </c>
      <c r="K119">
        <v>1.7949999999999999</v>
      </c>
      <c r="L119">
        <v>2.1150000000000002</v>
      </c>
    </row>
    <row r="120" spans="7:12" x14ac:dyDescent="0.4">
      <c r="G120">
        <v>24</v>
      </c>
      <c r="H120">
        <v>1.992</v>
      </c>
      <c r="J120">
        <v>24</v>
      </c>
      <c r="K120">
        <v>1.8049999999999999</v>
      </c>
      <c r="L120">
        <v>2.1150000000000002</v>
      </c>
    </row>
    <row r="121" spans="7:12" x14ac:dyDescent="0.4">
      <c r="G121">
        <v>25</v>
      </c>
      <c r="H121">
        <v>1.9990000000000001</v>
      </c>
      <c r="J121">
        <v>25</v>
      </c>
      <c r="K121">
        <v>1.79</v>
      </c>
      <c r="L121">
        <v>2.1150000000000002</v>
      </c>
    </row>
    <row r="122" spans="7:12" x14ac:dyDescent="0.4">
      <c r="G122">
        <v>25</v>
      </c>
      <c r="H122">
        <v>1.982</v>
      </c>
      <c r="J122">
        <v>25</v>
      </c>
      <c r="K122">
        <v>1.7949999999999999</v>
      </c>
      <c r="L122">
        <v>2.1150000000000002</v>
      </c>
    </row>
    <row r="123" spans="7:12" x14ac:dyDescent="0.4">
      <c r="G123">
        <v>26</v>
      </c>
      <c r="H123">
        <v>1.992</v>
      </c>
      <c r="J123">
        <v>26</v>
      </c>
      <c r="K123">
        <v>1.79</v>
      </c>
      <c r="L123">
        <v>2.1150000000000002</v>
      </c>
    </row>
    <row r="124" spans="7:12" x14ac:dyDescent="0.4">
      <c r="G124">
        <v>26</v>
      </c>
      <c r="H124">
        <v>1.992</v>
      </c>
      <c r="J124">
        <v>26</v>
      </c>
      <c r="K124">
        <v>1.79</v>
      </c>
      <c r="L124">
        <v>2.1150000000000002</v>
      </c>
    </row>
    <row r="125" spans="7:12" x14ac:dyDescent="0.4">
      <c r="G125">
        <v>27</v>
      </c>
      <c r="H125">
        <v>1.982</v>
      </c>
      <c r="J125">
        <v>27</v>
      </c>
      <c r="K125">
        <v>1.7949999999999999</v>
      </c>
      <c r="L125">
        <v>2.105</v>
      </c>
    </row>
    <row r="126" spans="7:12" x14ac:dyDescent="0.4">
      <c r="G126">
        <v>27</v>
      </c>
      <c r="H126">
        <v>1.982</v>
      </c>
      <c r="J126">
        <v>27</v>
      </c>
      <c r="K126">
        <v>1.798</v>
      </c>
      <c r="L126">
        <v>2.105</v>
      </c>
    </row>
    <row r="127" spans="7:12" x14ac:dyDescent="0.4">
      <c r="G127">
        <v>28</v>
      </c>
      <c r="H127">
        <v>1.992</v>
      </c>
      <c r="J127">
        <v>28</v>
      </c>
      <c r="K127">
        <v>1.7929999999999999</v>
      </c>
      <c r="L127">
        <v>2.1150000000000002</v>
      </c>
    </row>
    <row r="128" spans="7:12" x14ac:dyDescent="0.4">
      <c r="G128">
        <v>28</v>
      </c>
      <c r="H128">
        <v>1.972</v>
      </c>
      <c r="J128">
        <v>28</v>
      </c>
      <c r="K128">
        <v>1.7949999999999999</v>
      </c>
      <c r="L128">
        <v>2.125</v>
      </c>
    </row>
    <row r="129" spans="7:12" x14ac:dyDescent="0.4">
      <c r="G129">
        <v>29</v>
      </c>
      <c r="H129">
        <v>1.988</v>
      </c>
      <c r="J129">
        <v>29</v>
      </c>
      <c r="K129">
        <v>1.8080000000000001</v>
      </c>
      <c r="L129">
        <v>2.1280000000000001</v>
      </c>
    </row>
    <row r="130" spans="7:12" x14ac:dyDescent="0.4">
      <c r="G130">
        <v>29</v>
      </c>
      <c r="H130">
        <v>1.998</v>
      </c>
      <c r="J130">
        <v>29</v>
      </c>
      <c r="K130">
        <v>1.798</v>
      </c>
      <c r="L130">
        <v>2.1150000000000002</v>
      </c>
    </row>
    <row r="131" spans="7:12" x14ac:dyDescent="0.4">
      <c r="G131">
        <v>30</v>
      </c>
      <c r="H131">
        <v>1.992</v>
      </c>
      <c r="J131">
        <v>30</v>
      </c>
      <c r="K131">
        <v>1.798</v>
      </c>
      <c r="L131">
        <v>2.1280000000000001</v>
      </c>
    </row>
    <row r="132" spans="7:12" x14ac:dyDescent="0.4">
      <c r="G132">
        <v>30</v>
      </c>
      <c r="H132">
        <v>1.992</v>
      </c>
      <c r="J132">
        <v>30</v>
      </c>
      <c r="K132">
        <v>1.798</v>
      </c>
      <c r="L132">
        <v>2.1150000000000002</v>
      </c>
    </row>
    <row r="133" spans="7:12" x14ac:dyDescent="0.4">
      <c r="H133">
        <f>AVERAGE(H71:H132)</f>
        <v>1.9903870967741939</v>
      </c>
      <c r="K133">
        <f t="shared" ref="K133:L133" si="1">AVERAGE(K71:K132)</f>
        <v>1.7957741935483891</v>
      </c>
      <c r="L133">
        <f t="shared" si="1"/>
        <v>2.1136129032258051</v>
      </c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E176"/>
  <sheetViews>
    <sheetView zoomScale="85" zoomScaleNormal="85" workbookViewId="0">
      <selection activeCell="AH56" sqref="AH56"/>
    </sheetView>
  </sheetViews>
  <sheetFormatPr defaultRowHeight="18.75" x14ac:dyDescent="0.4"/>
  <cols>
    <col min="26" max="26" width="13.375" bestFit="1" customWidth="1"/>
    <col min="35" max="35" width="13.375" bestFit="1" customWidth="1"/>
    <col min="40" max="40" width="15.125" customWidth="1"/>
  </cols>
  <sheetData>
    <row r="3" spans="3:11" x14ac:dyDescent="0.4">
      <c r="D3" t="s">
        <v>119</v>
      </c>
      <c r="H3" t="s">
        <v>115</v>
      </c>
      <c r="J3" t="s">
        <v>116</v>
      </c>
    </row>
    <row r="4" spans="3:11" x14ac:dyDescent="0.4">
      <c r="D4" t="s">
        <v>118</v>
      </c>
      <c r="E4" t="s">
        <v>45</v>
      </c>
      <c r="H4" t="s">
        <v>117</v>
      </c>
      <c r="I4" t="s">
        <v>45</v>
      </c>
      <c r="J4" t="s">
        <v>117</v>
      </c>
      <c r="K4" t="s">
        <v>45</v>
      </c>
    </row>
    <row r="5" spans="3:11" x14ac:dyDescent="0.4">
      <c r="C5" t="s">
        <v>35</v>
      </c>
      <c r="D5" s="5">
        <f>TEG_Syncronous_Pipeline_回路規模!$C$2-TEG_Syncronous_Pipeline_回路規模!$C$3</f>
        <v>3775</v>
      </c>
      <c r="E5">
        <f>電力データ_0610以降_100N!$C$130-電力データ_0610以降_100N!$C$131</f>
        <v>7.6000000000000012E-2</v>
      </c>
      <c r="G5" t="s">
        <v>68</v>
      </c>
      <c r="H5" s="3">
        <f>H13-H14</f>
        <v>7988</v>
      </c>
      <c r="I5">
        <f>電力データ0610以降_300N!E134</f>
        <v>3.9659677419354722E-2</v>
      </c>
      <c r="J5" s="3">
        <f>H13-H14</f>
        <v>7988</v>
      </c>
      <c r="K5">
        <f>電力データ0610以降_300N!I134</f>
        <v>0.10451612903225582</v>
      </c>
    </row>
    <row r="6" spans="3:11" x14ac:dyDescent="0.4">
      <c r="C6" t="s">
        <v>36</v>
      </c>
      <c r="D6" s="5">
        <f>TEG_Syncronous_Pipeline_回路規模!$C$2-TEG_Syncronous_Pipeline_回路規模!$C$4</f>
        <v>8042</v>
      </c>
      <c r="E6">
        <f>電力データ_0610以降_100N!$C$130-電力データ_0610以降_100N!$C$132</f>
        <v>0.17400000000000004</v>
      </c>
      <c r="G6" t="s">
        <v>49</v>
      </c>
      <c r="H6" s="3">
        <f>H13-H15</f>
        <v>15556</v>
      </c>
      <c r="I6">
        <f>電力データ0610以降_300N!E135</f>
        <v>0.11812903225806104</v>
      </c>
      <c r="J6" s="3">
        <f>H13-H15</f>
        <v>15556</v>
      </c>
      <c r="K6">
        <f>電力データ0610以降_300N!I135</f>
        <v>0.24311290322580614</v>
      </c>
    </row>
    <row r="7" spans="3:11" x14ac:dyDescent="0.4">
      <c r="C7" t="s">
        <v>37</v>
      </c>
      <c r="D7" s="5">
        <f>TEG_Syncronous_Pipeline_回路規模!$C$2-TEG_Syncronous_Pipeline_回路規模!$C$5</f>
        <v>17660</v>
      </c>
      <c r="E7">
        <f>電力データ_0610以降_100N!$C$130-電力データ_0610以降_100N!$C$133</f>
        <v>0.27200000000000002</v>
      </c>
      <c r="G7" t="s">
        <v>50</v>
      </c>
      <c r="H7" s="3">
        <f>H13-H16</f>
        <v>23054</v>
      </c>
      <c r="I7">
        <f>電力データ0610以降_300N!E136</f>
        <v>0.18467741935483772</v>
      </c>
      <c r="J7" s="3">
        <f>H13-H16</f>
        <v>23054</v>
      </c>
      <c r="K7">
        <f>電力データ0610以降_300N!I136</f>
        <v>0.30714516129032177</v>
      </c>
    </row>
    <row r="8" spans="3:11" x14ac:dyDescent="0.4">
      <c r="C8" t="s">
        <v>38</v>
      </c>
      <c r="D8" s="5">
        <f>TEG_Syncronous_Pipeline_回路規模!$C$2-TEG_Syncronous_Pipeline_回路規模!$C$6</f>
        <v>23794</v>
      </c>
      <c r="E8">
        <f>電力データ_0610以降_100N!$C$130-電力データ_0610以降_100N!$C$134</f>
        <v>0.32200000000000006</v>
      </c>
      <c r="G8" t="s">
        <v>69</v>
      </c>
      <c r="H8" s="3">
        <f>H14-H9</f>
        <v>15066</v>
      </c>
      <c r="I8">
        <f>電力データ0610以降_300N!E137</f>
        <v>7.8469354838706318E-2</v>
      </c>
      <c r="J8" s="3">
        <f>H14-H15</f>
        <v>7568</v>
      </c>
      <c r="K8">
        <f>電力データ0610以降_300N!I137</f>
        <v>0.13859677419355032</v>
      </c>
    </row>
    <row r="9" spans="3:11" x14ac:dyDescent="0.4">
      <c r="C9" t="s">
        <v>39</v>
      </c>
      <c r="D9" s="5">
        <f>TEG_Syncronous_Pipeline_回路規模!$C$2-TEG_Syncronous_Pipeline_回路規模!$C$7</f>
        <v>26971</v>
      </c>
      <c r="E9">
        <f>電力データ_0610以降_100N!$C$130-電力データ_0610以降_100N!$C$135</f>
        <v>0.34500000000000003</v>
      </c>
      <c r="G9" t="s">
        <v>70</v>
      </c>
      <c r="H9" s="3">
        <f>H16</f>
        <v>7830</v>
      </c>
      <c r="I9">
        <f>電力データ0610以降_300N!E138</f>
        <v>0.145017741935483</v>
      </c>
      <c r="J9" s="3">
        <f>H14-H16</f>
        <v>15066</v>
      </c>
      <c r="K9">
        <f>電力データ0610以降_300N!I138</f>
        <v>0.20262903225806594</v>
      </c>
    </row>
    <row r="10" spans="3:11" x14ac:dyDescent="0.4">
      <c r="C10" t="s">
        <v>40</v>
      </c>
      <c r="D10" s="5">
        <f>TEG_Syncronous_Pipeline_回路規模!$C$3-TEG_Syncronous_Pipeline_回路規模!$C$4</f>
        <v>4267</v>
      </c>
      <c r="E10">
        <f>電力データ_0610以降_100N!$C$131-電力データ_0610以降_100N!$C$132</f>
        <v>9.8000000000000032E-2</v>
      </c>
      <c r="G10" t="s">
        <v>51</v>
      </c>
      <c r="H10" s="3">
        <f>H15-H16</f>
        <v>7498</v>
      </c>
      <c r="I10">
        <f>電力データ0610以降_300N!E139</f>
        <v>6.6548387096776684E-2</v>
      </c>
      <c r="J10" s="3">
        <f>H15-H16</f>
        <v>7498</v>
      </c>
      <c r="K10">
        <f>電力データ0610以降_300N!I139</f>
        <v>6.4032258064515624E-2</v>
      </c>
    </row>
    <row r="11" spans="3:11" x14ac:dyDescent="0.4">
      <c r="C11" t="s">
        <v>41</v>
      </c>
      <c r="D11" s="5">
        <f>TEG_Syncronous_Pipeline_回路規模!$C$3-TEG_Syncronous_Pipeline_回路規模!$C$5</f>
        <v>13885</v>
      </c>
      <c r="E11">
        <f>電力データ_0610以降_100N!$C$131-電力データ_0610以降_100N!$C$133</f>
        <v>0.19600000000000001</v>
      </c>
    </row>
    <row r="12" spans="3:11" x14ac:dyDescent="0.4">
      <c r="C12" t="s">
        <v>42</v>
      </c>
      <c r="D12" s="5">
        <f>TEG_Syncronous_Pipeline_回路規模!$C$3-TEG_Syncronous_Pipeline_回路規模!$C$6</f>
        <v>20019</v>
      </c>
      <c r="E12">
        <f>電力データ_0610以降_100N!$C$131-電力データ_0610以降_100N!$C$134</f>
        <v>0.24600000000000002</v>
      </c>
    </row>
    <row r="13" spans="3:11" x14ac:dyDescent="0.4">
      <c r="C13" t="s">
        <v>43</v>
      </c>
      <c r="D13" s="5">
        <f>TEG_Syncronous_Pipeline_回路規模!$C$3-TEG_Syncronous_Pipeline_回路規模!$C$7</f>
        <v>23196</v>
      </c>
      <c r="E13">
        <f>電力データ_0610以降_100N!$C$131-電力データ_0610以降_100N!$C$135</f>
        <v>0.26900000000000002</v>
      </c>
      <c r="H13" s="7">
        <f>TEG_Syncronous_Pipeline_回路規模!$I$3</f>
        <v>30884</v>
      </c>
    </row>
    <row r="14" spans="3:11" x14ac:dyDescent="0.4">
      <c r="C14" t="s">
        <v>46</v>
      </c>
      <c r="D14" s="5">
        <f>TEG_Syncronous_Pipeline_回路規模!$C$4-TEG_Syncronous_Pipeline_回路規模!$C$5</f>
        <v>9618</v>
      </c>
      <c r="E14">
        <f>電力データ_0610以降_100N!$C$132-電力データ_0610以降_100N!$C$133</f>
        <v>9.7999999999999976E-2</v>
      </c>
      <c r="H14" s="7">
        <f>TEG_Syncronous_Pipeline_回路規模!$I$4</f>
        <v>22896</v>
      </c>
    </row>
    <row r="15" spans="3:11" x14ac:dyDescent="0.4">
      <c r="C15" t="s">
        <v>47</v>
      </c>
      <c r="D15" s="5">
        <f>TEG_Syncronous_Pipeline_回路規模!$C$4-TEG_Syncronous_Pipeline_回路規模!$C$6</f>
        <v>15752</v>
      </c>
      <c r="E15">
        <f>電力データ_0610以降_100N!$C$132-電力データ_0610以降_100N!$C$134</f>
        <v>0.14799999999999999</v>
      </c>
      <c r="H15" s="7">
        <f>TEG_Syncronous_Pipeline_回路規模!$I$5</f>
        <v>15328</v>
      </c>
    </row>
    <row r="16" spans="3:11" x14ac:dyDescent="0.4">
      <c r="C16" t="s">
        <v>48</v>
      </c>
      <c r="D16" s="5">
        <f>TEG_Syncronous_Pipeline_回路規模!$C$4-TEG_Syncronous_Pipeline_回路規模!$C$7</f>
        <v>18929</v>
      </c>
      <c r="E16">
        <f>電力データ_0610以降_100N!$C$132-電力データ_0610以降_100N!$C$135</f>
        <v>0.17099999999999999</v>
      </c>
      <c r="H16" s="8">
        <f>TEG_Syncronous_Pipeline_回路規模!$I$6</f>
        <v>7830</v>
      </c>
    </row>
    <row r="17" spans="3:19" x14ac:dyDescent="0.4">
      <c r="C17" t="s">
        <v>49</v>
      </c>
      <c r="D17" s="5">
        <f>TEG_Syncronous_Pipeline_回路規模!$C$5-TEG_Syncronous_Pipeline_回路規模!$C$6</f>
        <v>6134</v>
      </c>
      <c r="E17">
        <f>電力データ_0610以降_100N!$C$133-電力データ_0610以降_100N!$C$134</f>
        <v>5.0000000000000017E-2</v>
      </c>
    </row>
    <row r="18" spans="3:19" x14ac:dyDescent="0.4">
      <c r="C18" t="s">
        <v>50</v>
      </c>
      <c r="D18" s="5">
        <f>TEG_Syncronous_Pipeline_回路規模!$C$5-TEG_Syncronous_Pipeline_回路規模!$C$7</f>
        <v>9311</v>
      </c>
      <c r="E18">
        <f>電力データ_0610以降_100N!$C$133-電力データ_0610以降_100N!$C$135</f>
        <v>7.3000000000000009E-2</v>
      </c>
    </row>
    <row r="19" spans="3:19" x14ac:dyDescent="0.4">
      <c r="C19" t="s">
        <v>51</v>
      </c>
      <c r="D19" s="5">
        <f>TEG_Syncronous_Pipeline_回路規模!$C$6-TEG_Syncronous_Pipeline_回路規模!$C$7</f>
        <v>3177</v>
      </c>
      <c r="E19">
        <f>電力データ_0610以降_100N!$C$134-電力データ_0610以降_100N!$C$135</f>
        <v>2.2999999999999993E-2</v>
      </c>
    </row>
    <row r="25" spans="3:19" x14ac:dyDescent="0.4">
      <c r="C25" t="s">
        <v>121</v>
      </c>
      <c r="D25" t="s">
        <v>123</v>
      </c>
      <c r="E25" t="s">
        <v>122</v>
      </c>
      <c r="F25" t="s">
        <v>132</v>
      </c>
      <c r="G25" t="s">
        <v>133</v>
      </c>
      <c r="H25" t="s">
        <v>129</v>
      </c>
    </row>
    <row r="26" spans="3:19" x14ac:dyDescent="0.4">
      <c r="C26" t="s">
        <v>250</v>
      </c>
      <c r="D26">
        <v>16</v>
      </c>
      <c r="E26" s="3">
        <v>3351</v>
      </c>
      <c r="F26" s="3">
        <f>TEG_Syncronous_Pipeline_回路規模!$C$2</f>
        <v>30226</v>
      </c>
      <c r="G26" s="3">
        <f>TEG_Syncronous_Pipeline_回路規模!D11</f>
        <v>51293</v>
      </c>
      <c r="H26">
        <f>電力データ_0610以降_100N!$F$224</f>
        <v>1.8938225806451614</v>
      </c>
    </row>
    <row r="27" spans="3:19" x14ac:dyDescent="0.4">
      <c r="C27" t="s">
        <v>251</v>
      </c>
      <c r="D27">
        <v>12</v>
      </c>
      <c r="E27" s="3">
        <v>3351</v>
      </c>
      <c r="F27" s="3">
        <f>TEG_Syncronous_Pipeline_回路規模!$C$3</f>
        <v>26451</v>
      </c>
      <c r="G27" s="3">
        <f>TEG_Syncronous_Pipeline_回路規模!D12</f>
        <v>38497</v>
      </c>
      <c r="H27">
        <f>電力データ_0610以降_100N!$F$225</f>
        <v>1.8137096774193544</v>
      </c>
    </row>
    <row r="28" spans="3:19" x14ac:dyDescent="0.4">
      <c r="C28" t="s">
        <v>252</v>
      </c>
      <c r="D28">
        <v>8</v>
      </c>
      <c r="E28" s="3">
        <v>3351</v>
      </c>
      <c r="F28" s="3">
        <f>TEG_Syncronous_Pipeline_回路規模!$C$4</f>
        <v>22184</v>
      </c>
      <c r="G28" s="3">
        <f>TEG_Syncronous_Pipeline_回路規模!D13</f>
        <v>25697</v>
      </c>
      <c r="H28">
        <f>電力データ_0610以降_100N!$F$226</f>
        <v>1.7232741935483864</v>
      </c>
      <c r="S28" t="s">
        <v>12</v>
      </c>
    </row>
    <row r="29" spans="3:19" x14ac:dyDescent="0.4">
      <c r="C29" t="s">
        <v>253</v>
      </c>
      <c r="D29">
        <v>4</v>
      </c>
      <c r="E29" s="3">
        <v>3351</v>
      </c>
      <c r="F29" s="3">
        <f>TEG_Syncronous_Pipeline_回路規模!$C$5</f>
        <v>12566</v>
      </c>
      <c r="G29" s="3">
        <f>TEG_Syncronous_Pipeline_回路規模!D14</f>
        <v>12897</v>
      </c>
      <c r="H29">
        <f>電力データ_0610以降_100N!$F$227</f>
        <v>1.6362419354838709</v>
      </c>
    </row>
    <row r="30" spans="3:19" x14ac:dyDescent="0.4">
      <c r="C30" t="s">
        <v>254</v>
      </c>
      <c r="D30">
        <v>2</v>
      </c>
      <c r="E30" s="3">
        <v>3351</v>
      </c>
      <c r="F30" s="3">
        <f>TEG_Syncronous_Pipeline_回路規模!$C$6</f>
        <v>6432</v>
      </c>
      <c r="G30" s="3">
        <f>TEG_Syncronous_Pipeline_回路規模!D15</f>
        <v>6497</v>
      </c>
      <c r="H30">
        <f>電力データ_0610以降_100N!$F$228</f>
        <v>1.5922096774193537</v>
      </c>
    </row>
    <row r="31" spans="3:19" x14ac:dyDescent="0.4">
      <c r="C31" t="s">
        <v>255</v>
      </c>
      <c r="D31">
        <v>1</v>
      </c>
      <c r="E31" s="3">
        <v>3351</v>
      </c>
      <c r="F31" s="3">
        <f>TEG_Syncronous_Pipeline_回路規模!$C$7</f>
        <v>3255</v>
      </c>
      <c r="G31" s="3">
        <f>TEG_Syncronous_Pipeline_回路規模!D16</f>
        <v>3297</v>
      </c>
      <c r="H31">
        <f>電力データ_0610以降_100N!$F$229</f>
        <v>1.5545</v>
      </c>
    </row>
    <row r="32" spans="3:19" x14ac:dyDescent="0.4">
      <c r="C32" t="s">
        <v>256</v>
      </c>
      <c r="D32">
        <v>0</v>
      </c>
      <c r="E32" s="3">
        <v>3351</v>
      </c>
      <c r="F32" s="3">
        <f>TEG_Syncronous_Pipeline_回路規模!$C$8</f>
        <v>96</v>
      </c>
      <c r="H32">
        <f>電力データ_0610以降_100N!$I$65</f>
        <v>1.5473064516129043</v>
      </c>
    </row>
    <row r="33" spans="1:75" x14ac:dyDescent="0.4">
      <c r="C33" t="s">
        <v>121</v>
      </c>
      <c r="D33" t="s">
        <v>123</v>
      </c>
      <c r="E33" t="s">
        <v>122</v>
      </c>
      <c r="F33" t="s">
        <v>132</v>
      </c>
      <c r="G33" t="s">
        <v>133</v>
      </c>
      <c r="H33" t="s">
        <v>131</v>
      </c>
    </row>
    <row r="34" spans="1:75" x14ac:dyDescent="0.4">
      <c r="C34" t="s">
        <v>240</v>
      </c>
      <c r="D34">
        <v>4</v>
      </c>
      <c r="E34">
        <f>電力データ0610以降_300N!$D$177</f>
        <v>9786</v>
      </c>
      <c r="F34" s="7">
        <f>TEG_Syncronous_Pipeline_回路規模!$I$3</f>
        <v>30884</v>
      </c>
      <c r="G34" s="3">
        <f>TEG_Syncronous_Pipeline_回路規模!K3</f>
        <v>38497</v>
      </c>
      <c r="H34">
        <f>電力データ0610以降_300N!$F$177</f>
        <v>1.885</v>
      </c>
    </row>
    <row r="35" spans="1:75" x14ac:dyDescent="0.4">
      <c r="C35" t="s">
        <v>241</v>
      </c>
      <c r="D35">
        <v>3</v>
      </c>
      <c r="E35">
        <f>電力データ0610以降_300N!$D$178</f>
        <v>9786</v>
      </c>
      <c r="F35" s="7">
        <f>TEG_Syncronous_Pipeline_回路規模!$I$4</f>
        <v>22896</v>
      </c>
      <c r="G35" s="3">
        <f>TEG_Syncronous_Pipeline_回路規模!K4</f>
        <v>28897</v>
      </c>
      <c r="H35">
        <f>電力データ0610以降_300N!$F$178</f>
        <v>1.8492741935483872</v>
      </c>
    </row>
    <row r="36" spans="1:75" x14ac:dyDescent="0.4">
      <c r="C36" t="s">
        <v>242</v>
      </c>
      <c r="D36">
        <v>2</v>
      </c>
      <c r="E36">
        <f>電力データ0610以降_300N!$D$179</f>
        <v>9786</v>
      </c>
      <c r="F36" s="7">
        <f>TEG_Syncronous_Pipeline_回路規模!$I$5</f>
        <v>15328</v>
      </c>
      <c r="G36" s="3">
        <f>TEG_Syncronous_Pipeline_回路規模!K5</f>
        <v>19297</v>
      </c>
      <c r="H36">
        <f>電力データ0610以降_300N!$F$179</f>
        <v>1.7670483870967757</v>
      </c>
    </row>
    <row r="37" spans="1:75" x14ac:dyDescent="0.4">
      <c r="C37" t="s">
        <v>243</v>
      </c>
      <c r="D37">
        <v>1</v>
      </c>
      <c r="E37">
        <f>電力データ0610以降_300N!$D$180</f>
        <v>9786</v>
      </c>
      <c r="F37" s="8">
        <f>TEG_Syncronous_Pipeline_回路規模!$I$6</f>
        <v>7830</v>
      </c>
      <c r="G37" s="3">
        <f>TEG_Syncronous_Pipeline_回路規模!K6</f>
        <v>9697</v>
      </c>
      <c r="H37">
        <f>電力データ0610以降_300N!$F$180</f>
        <v>1.7039193548387102</v>
      </c>
    </row>
    <row r="38" spans="1:75" x14ac:dyDescent="0.4">
      <c r="C38" t="s">
        <v>244</v>
      </c>
      <c r="D38">
        <v>0</v>
      </c>
      <c r="E38">
        <v>9786</v>
      </c>
      <c r="F38">
        <f>TEG_Syncronous_Pipeline_回路規模!$I$7</f>
        <v>96</v>
      </c>
      <c r="H38">
        <f>電力データ0610以降_300N!$G$64</f>
        <v>1.6343709677419351</v>
      </c>
    </row>
    <row r="39" spans="1:75" x14ac:dyDescent="0.4">
      <c r="H39" t="s">
        <v>130</v>
      </c>
    </row>
    <row r="40" spans="1:75" x14ac:dyDescent="0.4">
      <c r="C40" t="s">
        <v>245</v>
      </c>
      <c r="D40">
        <v>4</v>
      </c>
      <c r="E40">
        <f>電力データ0610以降_300N!$D$177</f>
        <v>9786</v>
      </c>
      <c r="F40" s="7">
        <f>TEG_Syncronous_Pipeline_回路規模!$I$3</f>
        <v>30884</v>
      </c>
      <c r="G40" s="3">
        <f>TEG_Syncronous_Pipeline_回路規模!K3</f>
        <v>38497</v>
      </c>
      <c r="H40">
        <f>電力データ0610以降_300N!$G$177</f>
        <v>2.3286935483870961</v>
      </c>
    </row>
    <row r="41" spans="1:75" x14ac:dyDescent="0.4">
      <c r="C41" t="s">
        <v>246</v>
      </c>
      <c r="D41">
        <v>3</v>
      </c>
      <c r="E41">
        <f>電力データ0610以降_300N!$D$178</f>
        <v>9786</v>
      </c>
      <c r="F41" s="7">
        <f>TEG_Syncronous_Pipeline_回路規模!$I$4</f>
        <v>22896</v>
      </c>
      <c r="G41" s="3">
        <f>TEG_Syncronous_Pipeline_回路規模!K4</f>
        <v>28897</v>
      </c>
      <c r="H41">
        <f>電力データ0610以降_300N!$G$178</f>
        <v>2.2266935483870971</v>
      </c>
    </row>
    <row r="42" spans="1:75" x14ac:dyDescent="0.4">
      <c r="C42" t="s">
        <v>247</v>
      </c>
      <c r="D42">
        <v>2</v>
      </c>
      <c r="E42">
        <f>電力データ0610以降_300N!$D$179</f>
        <v>9786</v>
      </c>
      <c r="F42" s="7">
        <f>TEG_Syncronous_Pipeline_回路規模!$I$5</f>
        <v>15328</v>
      </c>
      <c r="G42" s="3">
        <f>TEG_Syncronous_Pipeline_回路規模!K5</f>
        <v>19297</v>
      </c>
      <c r="H42">
        <f>電力データ0610以降_300N!$G$179</f>
        <v>2.0861935483870964</v>
      </c>
    </row>
    <row r="43" spans="1:75" x14ac:dyDescent="0.4">
      <c r="C43" t="s">
        <v>248</v>
      </c>
      <c r="D43">
        <v>1</v>
      </c>
      <c r="E43">
        <f>電力データ0610以降_300N!$D$180</f>
        <v>9786</v>
      </c>
      <c r="F43" s="8">
        <f>TEG_Syncronous_Pipeline_回路規模!$I$6</f>
        <v>7830</v>
      </c>
      <c r="G43" s="3">
        <f>TEG_Syncronous_Pipeline_回路規模!K6</f>
        <v>9697</v>
      </c>
      <c r="H43">
        <f>電力データ0610以降_300N!$G$180</f>
        <v>2.0621774193548377</v>
      </c>
    </row>
    <row r="44" spans="1:75" x14ac:dyDescent="0.4">
      <c r="A44" t="s">
        <v>140</v>
      </c>
      <c r="C44" t="s">
        <v>249</v>
      </c>
      <c r="D44">
        <v>0</v>
      </c>
      <c r="E44">
        <v>9786</v>
      </c>
      <c r="F44">
        <f>TEG_Syncronous_Pipeline_回路規模!$I$7</f>
        <v>96</v>
      </c>
      <c r="H44">
        <f>電力データ0610以降_300N!$T$64</f>
        <v>1.8033225806451634</v>
      </c>
      <c r="J44" t="s">
        <v>175</v>
      </c>
      <c r="Y44" t="s">
        <v>203</v>
      </c>
      <c r="Z44" t="s">
        <v>178</v>
      </c>
      <c r="AN44" t="s">
        <v>206</v>
      </c>
      <c r="BR44" s="16" t="s">
        <v>294</v>
      </c>
    </row>
    <row r="45" spans="1:75" x14ac:dyDescent="0.4">
      <c r="A45" t="s">
        <v>144</v>
      </c>
      <c r="B45" t="s">
        <v>141</v>
      </c>
      <c r="C45" t="s">
        <v>145</v>
      </c>
      <c r="D45" t="s">
        <v>146</v>
      </c>
      <c r="E45" t="s">
        <v>142</v>
      </c>
      <c r="F45" t="s">
        <v>143</v>
      </c>
      <c r="K45" t="s">
        <v>145</v>
      </c>
      <c r="L45" t="s">
        <v>146</v>
      </c>
      <c r="M45" t="s">
        <v>142</v>
      </c>
      <c r="N45" t="s">
        <v>143</v>
      </c>
      <c r="O45" t="s">
        <v>174</v>
      </c>
      <c r="Y45" t="s">
        <v>140</v>
      </c>
      <c r="AH45" t="s">
        <v>145</v>
      </c>
      <c r="AI45" t="s">
        <v>146</v>
      </c>
      <c r="AJ45" t="s">
        <v>202</v>
      </c>
      <c r="AK45" t="s">
        <v>183</v>
      </c>
      <c r="AL45" t="s">
        <v>174</v>
      </c>
      <c r="AN45" t="s">
        <v>201</v>
      </c>
      <c r="AO45" t="s">
        <v>207</v>
      </c>
      <c r="AP45" t="s">
        <v>145</v>
      </c>
      <c r="AQ45" t="s">
        <v>146</v>
      </c>
      <c r="AR45" t="s">
        <v>202</v>
      </c>
      <c r="AS45" t="s">
        <v>183</v>
      </c>
      <c r="AT45" t="s">
        <v>174</v>
      </c>
      <c r="BL45" t="s">
        <v>288</v>
      </c>
      <c r="BR45" s="16" t="s">
        <v>295</v>
      </c>
    </row>
    <row r="46" spans="1:75" x14ac:dyDescent="0.4">
      <c r="A46" t="s">
        <v>0</v>
      </c>
      <c r="B46">
        <v>0</v>
      </c>
      <c r="C46">
        <f>電力データ_0610以降_100N!$F$224</f>
        <v>1.8938225806451614</v>
      </c>
      <c r="D46">
        <v>62.5</v>
      </c>
      <c r="E46">
        <v>100</v>
      </c>
      <c r="F46">
        <v>16</v>
      </c>
      <c r="G46" s="3"/>
      <c r="H46" s="3"/>
      <c r="L46" s="11">
        <v>5.3358967741935449E-3</v>
      </c>
      <c r="M46" s="11">
        <v>1.0194622794933625E-3</v>
      </c>
      <c r="N46" s="11">
        <v>2.8029435962193355E-2</v>
      </c>
      <c r="O46" s="11">
        <v>1.0725314764856695</v>
      </c>
      <c r="Y46" t="s">
        <v>144</v>
      </c>
      <c r="Z46" t="s">
        <v>141</v>
      </c>
      <c r="AA46" t="s">
        <v>145</v>
      </c>
      <c r="AB46" t="s">
        <v>146</v>
      </c>
      <c r="AC46" t="s">
        <v>176</v>
      </c>
      <c r="AD46" t="s">
        <v>177</v>
      </c>
      <c r="AE46" t="s">
        <v>182</v>
      </c>
      <c r="AI46" s="11">
        <v>5.3358967741935397E-3</v>
      </c>
      <c r="AJ46" s="11">
        <v>1.191812704229186E-5</v>
      </c>
      <c r="AK46" s="11">
        <v>1.1682161589590229E-5</v>
      </c>
      <c r="AL46">
        <f>Z82</f>
        <v>1.1378135138436984</v>
      </c>
      <c r="AP46" t="s">
        <v>266</v>
      </c>
      <c r="AQ46" s="11">
        <v>5.3358967741935449E-3</v>
      </c>
      <c r="AR46" s="11">
        <v>1.191812704229186E-5</v>
      </c>
      <c r="AS46" s="11">
        <v>1.1682161589590229E-5</v>
      </c>
      <c r="AT46" s="11">
        <v>1.1378135138436984</v>
      </c>
      <c r="BR46" t="s">
        <v>296</v>
      </c>
    </row>
    <row r="47" spans="1:75" x14ac:dyDescent="0.4">
      <c r="A47" t="s">
        <v>1</v>
      </c>
      <c r="B47">
        <v>1</v>
      </c>
      <c r="C47">
        <f>電力データ_0610以降_100N!$F$225</f>
        <v>1.8137096774193544</v>
      </c>
      <c r="D47">
        <v>62.5</v>
      </c>
      <c r="E47">
        <v>100</v>
      </c>
      <c r="F47">
        <v>12</v>
      </c>
      <c r="G47" s="3"/>
      <c r="H47" s="3"/>
      <c r="J47" t="s">
        <v>0</v>
      </c>
      <c r="K47">
        <f t="shared" ref="K47:K63" si="0">L47*$L$46+M47*$M$46+N47*$N$46+$O$46</f>
        <v>1.956442228217196</v>
      </c>
      <c r="L47">
        <v>62.5</v>
      </c>
      <c r="M47">
        <v>100</v>
      </c>
      <c r="N47">
        <v>16</v>
      </c>
      <c r="Y47" t="s">
        <v>0</v>
      </c>
      <c r="Z47">
        <v>0</v>
      </c>
      <c r="AA47">
        <f>電力データ_0610以降_100N!$F$224</f>
        <v>1.8938225806451614</v>
      </c>
      <c r="AB47">
        <v>62.5</v>
      </c>
      <c r="AC47" s="3">
        <v>3351</v>
      </c>
      <c r="AD47" s="3">
        <f>TEG_Syncronous_Pipeline_回路規模!$C$2</f>
        <v>30226</v>
      </c>
      <c r="AG47" t="s">
        <v>0</v>
      </c>
      <c r="AH47">
        <f>AI47*$AI$46+AJ47*$AJ$46+AK47*$AK$46+$AL$46</f>
        <v>1.8643497221564689</v>
      </c>
      <c r="AI47">
        <v>62.5</v>
      </c>
      <c r="AJ47" s="3">
        <v>3351</v>
      </c>
      <c r="AK47" s="3">
        <f>TEG_Syncronous_Pipeline_回路規模!$C$2</f>
        <v>30226</v>
      </c>
      <c r="AN47" t="s">
        <v>257</v>
      </c>
      <c r="AO47">
        <f>Sync回路_検証用データ群!B65</f>
        <v>1.9193709677419377</v>
      </c>
      <c r="AP47">
        <f t="shared" ref="AP47:AP55" si="1">AQ47*$AQ$46+AR47*$AR$46+AS47*$AS$46+$AT$46</f>
        <v>1.9617510911172826</v>
      </c>
      <c r="AQ47">
        <v>62.5</v>
      </c>
      <c r="AR47">
        <f>TEG_Syncronous_Pipeline_回路規模!E19</f>
        <v>12986</v>
      </c>
      <c r="AS47">
        <f>TEG_Syncronous_Pipeline_回路規模!B19</f>
        <v>28734</v>
      </c>
      <c r="BL47" t="s">
        <v>144</v>
      </c>
      <c r="BM47" t="s">
        <v>141</v>
      </c>
      <c r="BN47" t="s">
        <v>290</v>
      </c>
      <c r="BO47" t="s">
        <v>289</v>
      </c>
      <c r="BP47" t="s">
        <v>291</v>
      </c>
      <c r="BQ47" t="s">
        <v>146</v>
      </c>
      <c r="BR47" t="s">
        <v>176</v>
      </c>
      <c r="BS47" t="s">
        <v>177</v>
      </c>
      <c r="BT47" t="s">
        <v>182</v>
      </c>
      <c r="BW47" t="s">
        <v>147</v>
      </c>
    </row>
    <row r="48" spans="1:75" ht="19.5" thickBot="1" x14ac:dyDescent="0.45">
      <c r="A48" t="s">
        <v>2</v>
      </c>
      <c r="B48">
        <v>2</v>
      </c>
      <c r="C48">
        <f>電力データ_0610以降_100N!$F$226</f>
        <v>1.7232741935483864</v>
      </c>
      <c r="D48">
        <v>62.5</v>
      </c>
      <c r="E48">
        <v>100</v>
      </c>
      <c r="F48">
        <v>8</v>
      </c>
      <c r="G48" s="3"/>
      <c r="H48" s="3"/>
      <c r="J48" t="s">
        <v>1</v>
      </c>
      <c r="K48">
        <f t="shared" si="0"/>
        <v>1.8443244843684226</v>
      </c>
      <c r="L48">
        <v>62.5</v>
      </c>
      <c r="M48">
        <v>100</v>
      </c>
      <c r="N48">
        <v>12</v>
      </c>
      <c r="Y48" t="s">
        <v>1</v>
      </c>
      <c r="Z48">
        <v>1</v>
      </c>
      <c r="AA48">
        <f>電力データ_0610以降_100N!$F$225</f>
        <v>1.8137096774193544</v>
      </c>
      <c r="AB48">
        <v>62.5</v>
      </c>
      <c r="AC48" s="3">
        <v>3351</v>
      </c>
      <c r="AD48" s="3">
        <f>TEG_Syncronous_Pipeline_回路規模!$C$3</f>
        <v>26451</v>
      </c>
      <c r="AG48" t="s">
        <v>1</v>
      </c>
      <c r="AH48">
        <f t="shared" ref="AH48:AH63" si="2">AI48*$AI$46+AJ48*$AJ$46+AK48*$AK$46+$AL$46</f>
        <v>1.8202495621557657</v>
      </c>
      <c r="AI48">
        <v>62.5</v>
      </c>
      <c r="AJ48" s="3">
        <v>3351</v>
      </c>
      <c r="AK48" s="3">
        <f>TEG_Syncronous_Pipeline_回路規模!$C$3</f>
        <v>26451</v>
      </c>
      <c r="AN48" t="s">
        <v>258</v>
      </c>
      <c r="AO48">
        <f>Sync回路_検証用データ群!E65</f>
        <v>1.8591451612903223</v>
      </c>
      <c r="AP48">
        <f t="shared" si="1"/>
        <v>1.9248354604941778</v>
      </c>
      <c r="AQ48">
        <v>62.5</v>
      </c>
      <c r="AR48">
        <f>TEG_Syncronous_Pipeline_回路規模!E20</f>
        <v>12986</v>
      </c>
      <c r="AS48">
        <f>TEG_Syncronous_Pipeline_回路規模!B20</f>
        <v>25574</v>
      </c>
      <c r="BL48" t="s">
        <v>0</v>
      </c>
      <c r="BM48">
        <v>0</v>
      </c>
      <c r="BN48">
        <f>電力データ_0610以降_100N!$F$224</f>
        <v>1.8938225806451614</v>
      </c>
      <c r="BO48">
        <f>電力データ_0610以降_100N!M65</f>
        <v>1.5085</v>
      </c>
      <c r="BP48">
        <f>BN48-BO48</f>
        <v>0.38532258064516145</v>
      </c>
      <c r="BQ48">
        <v>62.5</v>
      </c>
      <c r="BR48" s="3">
        <v>3351</v>
      </c>
      <c r="BS48" s="3">
        <f>TEG_Syncronous_Pipeline_回路規模!$C$2</f>
        <v>30226</v>
      </c>
    </row>
    <row r="49" spans="1:83" x14ac:dyDescent="0.4">
      <c r="A49" t="s">
        <v>3</v>
      </c>
      <c r="B49">
        <v>3</v>
      </c>
      <c r="C49">
        <f>電力データ_0610以降_100N!$F$227</f>
        <v>1.6362419354838709</v>
      </c>
      <c r="D49">
        <v>62.5</v>
      </c>
      <c r="E49">
        <v>100</v>
      </c>
      <c r="F49">
        <v>4</v>
      </c>
      <c r="G49" s="3"/>
      <c r="H49" s="3"/>
      <c r="J49" t="s">
        <v>2</v>
      </c>
      <c r="K49">
        <f t="shared" si="0"/>
        <v>1.7322067405196493</v>
      </c>
      <c r="L49">
        <v>62.5</v>
      </c>
      <c r="M49">
        <v>100</v>
      </c>
      <c r="N49">
        <v>8</v>
      </c>
      <c r="Y49" t="s">
        <v>2</v>
      </c>
      <c r="Z49">
        <v>2</v>
      </c>
      <c r="AA49">
        <f>電力データ_0610以降_100N!$F$226</f>
        <v>1.7232741935483864</v>
      </c>
      <c r="AB49">
        <v>62.5</v>
      </c>
      <c r="AC49" s="3">
        <v>3351</v>
      </c>
      <c r="AD49" s="3">
        <f>TEG_Syncronous_Pipeline_回路規模!$C$4</f>
        <v>22184</v>
      </c>
      <c r="AG49" t="s">
        <v>2</v>
      </c>
      <c r="AH49">
        <f t="shared" si="2"/>
        <v>1.7704017786529844</v>
      </c>
      <c r="AI49">
        <v>62.5</v>
      </c>
      <c r="AJ49" s="3">
        <v>3351</v>
      </c>
      <c r="AK49" s="3">
        <f>TEG_Syncronous_Pipeline_回路規模!$C$4</f>
        <v>22184</v>
      </c>
      <c r="AN49" t="s">
        <v>259</v>
      </c>
      <c r="AO49">
        <f>Sync回路_検証用データ群!H133</f>
        <v>1.9903870967741939</v>
      </c>
      <c r="AP49">
        <f t="shared" si="1"/>
        <v>1.9200192298670331</v>
      </c>
      <c r="AQ49">
        <v>62.5</v>
      </c>
      <c r="AR49">
        <f>TEG_Syncronous_Pipeline_回路規模!E22</f>
        <v>6586</v>
      </c>
      <c r="AS49">
        <f>TEG_Syncronous_Pipeline_回路規模!B22</f>
        <v>31691</v>
      </c>
      <c r="BL49" t="s">
        <v>1</v>
      </c>
      <c r="BM49">
        <v>1</v>
      </c>
      <c r="BN49">
        <f>電力データ_0610以降_100N!$F$225</f>
        <v>1.8137096774193544</v>
      </c>
      <c r="BO49">
        <f>電力データ_0610以降_100N!N65</f>
        <v>1.5056774193548388</v>
      </c>
      <c r="BP49">
        <f t="shared" ref="BP49:BP54" si="3">BN49-BO49</f>
        <v>0.30803225806451562</v>
      </c>
      <c r="BQ49">
        <v>62.5</v>
      </c>
      <c r="BR49" s="3">
        <v>3351</v>
      </c>
      <c r="BS49" s="3">
        <f>TEG_Syncronous_Pipeline_回路規模!$C$3</f>
        <v>26451</v>
      </c>
      <c r="BW49" s="20" t="s">
        <v>148</v>
      </c>
      <c r="BX49" s="20"/>
    </row>
    <row r="50" spans="1:83" x14ac:dyDescent="0.4">
      <c r="A50" t="s">
        <v>4</v>
      </c>
      <c r="B50">
        <v>4</v>
      </c>
      <c r="C50">
        <f>電力データ_0610以降_100N!$F$228</f>
        <v>1.5922096774193537</v>
      </c>
      <c r="D50">
        <v>62.5</v>
      </c>
      <c r="E50">
        <v>100</v>
      </c>
      <c r="F50">
        <v>2</v>
      </c>
      <c r="G50" s="3"/>
      <c r="H50" s="3"/>
      <c r="J50" t="s">
        <v>3</v>
      </c>
      <c r="K50">
        <f t="shared" si="0"/>
        <v>1.6200889966708756</v>
      </c>
      <c r="L50">
        <v>62.5</v>
      </c>
      <c r="M50">
        <v>100</v>
      </c>
      <c r="N50">
        <v>4</v>
      </c>
      <c r="Y50" t="s">
        <v>3</v>
      </c>
      <c r="Z50">
        <v>3</v>
      </c>
      <c r="AA50">
        <f>電力データ_0610以降_100N!$F$227</f>
        <v>1.6362419354838709</v>
      </c>
      <c r="AB50">
        <v>62.5</v>
      </c>
      <c r="AC50" s="3">
        <v>3351</v>
      </c>
      <c r="AD50" s="3">
        <f>TEG_Syncronous_Pipeline_回路規模!$C$5</f>
        <v>12566</v>
      </c>
      <c r="AG50" t="s">
        <v>3</v>
      </c>
      <c r="AH50">
        <f t="shared" si="2"/>
        <v>1.6580427484843054</v>
      </c>
      <c r="AI50">
        <v>62.5</v>
      </c>
      <c r="AJ50" s="3">
        <v>3351</v>
      </c>
      <c r="AK50" s="3">
        <f>TEG_Syncronous_Pipeline_回路規模!$C$5</f>
        <v>12566</v>
      </c>
      <c r="AN50" t="s">
        <v>260</v>
      </c>
      <c r="AO50">
        <f>Sync回路_検証用データ群!K133</f>
        <v>1.7957741935483891</v>
      </c>
      <c r="AP50">
        <f t="shared" si="1"/>
        <v>1.8169825646468474</v>
      </c>
      <c r="AQ50">
        <v>62.5</v>
      </c>
      <c r="AR50">
        <f>TEG_Syncronous_Pipeline_回路規模!E23</f>
        <v>6586</v>
      </c>
      <c r="AS50">
        <f>TEG_Syncronous_Pipeline_回路規模!B23</f>
        <v>22871</v>
      </c>
      <c r="BL50" t="s">
        <v>2</v>
      </c>
      <c r="BM50">
        <v>2</v>
      </c>
      <c r="BN50">
        <f>電力データ_0610以降_100N!$F$226</f>
        <v>1.7232741935483864</v>
      </c>
      <c r="BO50">
        <f>電力データ_0610以降_100N!O65</f>
        <v>1.5056451612903228</v>
      </c>
      <c r="BP50">
        <f t="shared" si="3"/>
        <v>0.21762903225806363</v>
      </c>
      <c r="BQ50">
        <v>62.5</v>
      </c>
      <c r="BR50" s="3">
        <v>3351</v>
      </c>
      <c r="BS50" s="3">
        <f>TEG_Syncronous_Pipeline_回路規模!$C$4</f>
        <v>22184</v>
      </c>
      <c r="BW50" s="17" t="s">
        <v>149</v>
      </c>
      <c r="BX50" s="17">
        <v>0.97260047453719412</v>
      </c>
    </row>
    <row r="51" spans="1:83" x14ac:dyDescent="0.4">
      <c r="A51" t="s">
        <v>5</v>
      </c>
      <c r="B51">
        <v>5</v>
      </c>
      <c r="C51">
        <f>電力データ_0610以降_100N!$F$229</f>
        <v>1.5545</v>
      </c>
      <c r="D51">
        <v>62.5</v>
      </c>
      <c r="E51">
        <v>100</v>
      </c>
      <c r="F51">
        <v>1</v>
      </c>
      <c r="G51" s="3"/>
      <c r="H51" s="3"/>
      <c r="J51" t="s">
        <v>4</v>
      </c>
      <c r="K51">
        <f t="shared" si="0"/>
        <v>1.5640301247464889</v>
      </c>
      <c r="L51">
        <v>62.5</v>
      </c>
      <c r="M51">
        <v>100</v>
      </c>
      <c r="N51">
        <v>2</v>
      </c>
      <c r="Y51" t="s">
        <v>4</v>
      </c>
      <c r="Z51">
        <v>4</v>
      </c>
      <c r="AA51">
        <f>電力データ_0610以降_100N!$F$228</f>
        <v>1.5922096774193537</v>
      </c>
      <c r="AB51">
        <v>62.5</v>
      </c>
      <c r="AC51" s="3">
        <v>3351</v>
      </c>
      <c r="AD51" s="3">
        <f>TEG_Syncronous_Pipeline_回路規模!$C$6</f>
        <v>6432</v>
      </c>
      <c r="AG51" t="s">
        <v>4</v>
      </c>
      <c r="AH51">
        <f t="shared" si="2"/>
        <v>1.5863843692937589</v>
      </c>
      <c r="AI51">
        <v>62.5</v>
      </c>
      <c r="AJ51" s="3">
        <v>3351</v>
      </c>
      <c r="AK51" s="3">
        <f>TEG_Syncronous_Pipeline_回路規模!$C$6</f>
        <v>6432</v>
      </c>
      <c r="AN51" t="s">
        <v>264</v>
      </c>
      <c r="AO51">
        <f>Sync回路_検証用データ群!N65</f>
        <v>1.6870967741935479</v>
      </c>
      <c r="AP51">
        <f t="shared" si="1"/>
        <v>1.6899629571844552</v>
      </c>
      <c r="AQ51">
        <v>62.5</v>
      </c>
      <c r="AR51">
        <f>TEG_Syncronous_Pipeline_回路規模!E25</f>
        <v>1786</v>
      </c>
      <c r="AS51">
        <f>TEG_Syncronous_Pipeline_回路規模!B25</f>
        <v>16895</v>
      </c>
      <c r="BL51" t="s">
        <v>3</v>
      </c>
      <c r="BM51">
        <v>3</v>
      </c>
      <c r="BN51">
        <f>電力データ_0610以降_100N!$F$227</f>
        <v>1.6362419354838709</v>
      </c>
      <c r="BO51">
        <f>電力データ_0610以降_100N!P65</f>
        <v>1.5045806451612902</v>
      </c>
      <c r="BP51">
        <f t="shared" si="3"/>
        <v>0.13166129032258067</v>
      </c>
      <c r="BQ51">
        <v>62.5</v>
      </c>
      <c r="BR51" s="3">
        <v>3351</v>
      </c>
      <c r="BS51" s="3">
        <f>TEG_Syncronous_Pipeline_回路規模!$C$5</f>
        <v>12566</v>
      </c>
      <c r="BW51" s="17" t="s">
        <v>150</v>
      </c>
      <c r="BX51" s="17">
        <v>0.94595168306997524</v>
      </c>
    </row>
    <row r="52" spans="1:83" x14ac:dyDescent="0.4">
      <c r="A52" t="s">
        <v>136</v>
      </c>
      <c r="B52">
        <v>6</v>
      </c>
      <c r="C52">
        <f>電力データ_0610以降_100N!$I$65</f>
        <v>1.5473064516129043</v>
      </c>
      <c r="D52">
        <v>62.5</v>
      </c>
      <c r="E52">
        <v>100</v>
      </c>
      <c r="F52">
        <v>0</v>
      </c>
      <c r="G52" s="3"/>
      <c r="H52" s="3"/>
      <c r="J52" t="s">
        <v>5</v>
      </c>
      <c r="K52">
        <f t="shared" si="0"/>
        <v>1.5360006887842956</v>
      </c>
      <c r="L52">
        <v>62.5</v>
      </c>
      <c r="M52">
        <v>100</v>
      </c>
      <c r="N52">
        <v>1</v>
      </c>
      <c r="Y52" t="s">
        <v>5</v>
      </c>
      <c r="Z52">
        <v>5</v>
      </c>
      <c r="AA52">
        <f>電力データ_0610以降_100N!$F$229</f>
        <v>1.5545</v>
      </c>
      <c r="AB52">
        <v>62.5</v>
      </c>
      <c r="AC52" s="3">
        <v>3351</v>
      </c>
      <c r="AD52" s="3">
        <f>TEG_Syncronous_Pipeline_回路規模!$C$7</f>
        <v>3255</v>
      </c>
      <c r="AG52" t="s">
        <v>5</v>
      </c>
      <c r="AH52">
        <f t="shared" si="2"/>
        <v>1.5492701419236308</v>
      </c>
      <c r="AI52">
        <v>62.5</v>
      </c>
      <c r="AJ52" s="3">
        <v>3351</v>
      </c>
      <c r="AK52" s="3">
        <f>TEG_Syncronous_Pipeline_回路規模!$C$7</f>
        <v>3255</v>
      </c>
      <c r="AN52" t="s">
        <v>261</v>
      </c>
      <c r="AO52">
        <f>Sync回路_検証用データ群!Q65</f>
        <v>1.6117741935483867</v>
      </c>
      <c r="AP52">
        <f t="shared" si="1"/>
        <v>1.6265521840761594</v>
      </c>
      <c r="AQ52">
        <v>62.5</v>
      </c>
      <c r="AR52">
        <f>TEG_Syncronous_Pipeline_回路規模!E26</f>
        <v>1786</v>
      </c>
      <c r="AS52">
        <f>TEG_Syncronous_Pipeline_回路規模!B26</f>
        <v>11467</v>
      </c>
      <c r="BL52" t="s">
        <v>4</v>
      </c>
      <c r="BM52">
        <v>4</v>
      </c>
      <c r="BN52">
        <f>電力データ_0610以降_100N!$F$228</f>
        <v>1.5922096774193537</v>
      </c>
      <c r="BO52">
        <f>電力データ_0610以降_100N!Q65</f>
        <v>1.5017419354838717</v>
      </c>
      <c r="BP52">
        <f t="shared" si="3"/>
        <v>9.0467741935482016E-2</v>
      </c>
      <c r="BQ52">
        <v>62.5</v>
      </c>
      <c r="BR52" s="3">
        <v>3351</v>
      </c>
      <c r="BS52" s="3">
        <f>TEG_Syncronous_Pipeline_回路規模!$C$6</f>
        <v>6432</v>
      </c>
      <c r="BW52" s="17" t="s">
        <v>151</v>
      </c>
      <c r="BX52" s="17">
        <v>0.93347899454766181</v>
      </c>
    </row>
    <row r="53" spans="1:83" x14ac:dyDescent="0.4">
      <c r="A53" t="s">
        <v>13</v>
      </c>
      <c r="B53">
        <v>7</v>
      </c>
      <c r="C53">
        <f>電力データ0610以降_300N!$F$177</f>
        <v>1.885</v>
      </c>
      <c r="D53">
        <v>62.5</v>
      </c>
      <c r="E53">
        <v>300</v>
      </c>
      <c r="F53">
        <v>4</v>
      </c>
      <c r="G53" s="7"/>
      <c r="H53" s="7"/>
      <c r="J53" t="s">
        <v>136</v>
      </c>
      <c r="K53">
        <f t="shared" si="0"/>
        <v>1.5079712528221023</v>
      </c>
      <c r="L53">
        <v>62.5</v>
      </c>
      <c r="M53">
        <v>100</v>
      </c>
      <c r="N53">
        <v>0</v>
      </c>
      <c r="Y53" t="s">
        <v>135</v>
      </c>
      <c r="Z53">
        <v>6</v>
      </c>
      <c r="AA53">
        <f>電力データ_0610以降_100N!$I$65</f>
        <v>1.5473064516129043</v>
      </c>
      <c r="AB53">
        <v>62.5</v>
      </c>
      <c r="AC53" s="3">
        <v>3351</v>
      </c>
      <c r="AD53" s="3">
        <f>TEG_Syncronous_Pipeline_回路規模!$C$8</f>
        <v>96</v>
      </c>
      <c r="AG53" t="s">
        <v>135</v>
      </c>
      <c r="AH53">
        <f t="shared" si="2"/>
        <v>1.5123661934621153</v>
      </c>
      <c r="AI53">
        <v>62.5</v>
      </c>
      <c r="AJ53" s="3">
        <v>3351</v>
      </c>
      <c r="AK53" s="3">
        <f>TEG_Syncronous_Pipeline_回路規模!$C$8</f>
        <v>96</v>
      </c>
      <c r="AN53" t="s">
        <v>262</v>
      </c>
      <c r="AO53">
        <f>Sync回路_検証用データ群!C65</f>
        <v>2.3798387096774194</v>
      </c>
      <c r="AP53">
        <f t="shared" si="1"/>
        <v>2.2952446395043795</v>
      </c>
      <c r="AQ53">
        <v>125</v>
      </c>
      <c r="AR53">
        <f>TEG_Syncronous_Pipeline_回路規模!E20</f>
        <v>12986</v>
      </c>
      <c r="AS53">
        <f>TEG_Syncronous_Pipeline_回路規模!B19</f>
        <v>28734</v>
      </c>
      <c r="BL53" t="s">
        <v>5</v>
      </c>
      <c r="BM53">
        <v>5</v>
      </c>
      <c r="BN53">
        <f>電力データ_0610以降_100N!$F$229</f>
        <v>1.5545</v>
      </c>
      <c r="BO53">
        <f>電力データ_0610以降_100N!R65</f>
        <v>1.5028709677419352</v>
      </c>
      <c r="BP53">
        <f t="shared" si="3"/>
        <v>5.1629032258064811E-2</v>
      </c>
      <c r="BQ53">
        <v>62.5</v>
      </c>
      <c r="BR53" s="3">
        <v>3351</v>
      </c>
      <c r="BS53" s="3">
        <f>TEG_Syncronous_Pipeline_回路規模!$C$7</f>
        <v>3255</v>
      </c>
      <c r="BW53" s="17" t="s">
        <v>152</v>
      </c>
      <c r="BX53" s="17">
        <v>4.8416228059903588E-2</v>
      </c>
    </row>
    <row r="54" spans="1:83" ht="19.5" thickBot="1" x14ac:dyDescent="0.45">
      <c r="A54" t="s">
        <v>14</v>
      </c>
      <c r="B54">
        <v>8</v>
      </c>
      <c r="C54">
        <f>電力データ0610以降_300N!$F$178</f>
        <v>1.8492741935483872</v>
      </c>
      <c r="D54">
        <v>62.5</v>
      </c>
      <c r="E54">
        <v>300</v>
      </c>
      <c r="F54">
        <v>3</v>
      </c>
      <c r="G54" s="7"/>
      <c r="H54" s="7"/>
      <c r="J54" t="s">
        <v>13</v>
      </c>
      <c r="K54">
        <f t="shared" si="0"/>
        <v>1.8239814525695484</v>
      </c>
      <c r="L54">
        <v>62.5</v>
      </c>
      <c r="M54">
        <v>300</v>
      </c>
      <c r="N54">
        <v>4</v>
      </c>
      <c r="Y54" t="s">
        <v>13</v>
      </c>
      <c r="Z54">
        <v>7</v>
      </c>
      <c r="AA54">
        <f>電力データ0610以降_300N!$F$177</f>
        <v>1.885</v>
      </c>
      <c r="AB54">
        <v>62.5</v>
      </c>
      <c r="AC54">
        <f>電力データ0610以降_300N!$D$177</f>
        <v>9786</v>
      </c>
      <c r="AD54" s="7">
        <f>TEG_Syncronous_Pipeline_回路規模!$I$3</f>
        <v>30884</v>
      </c>
      <c r="AE54">
        <v>62.5</v>
      </c>
      <c r="AG54" t="s">
        <v>13</v>
      </c>
      <c r="AH54">
        <f t="shared" si="2"/>
        <v>1.9487297319995673</v>
      </c>
      <c r="AI54">
        <v>62.5</v>
      </c>
      <c r="AJ54">
        <f>電力データ0610以降_300N!$D$177</f>
        <v>9786</v>
      </c>
      <c r="AK54" s="7">
        <f>TEG_Syncronous_Pipeline_回路規模!$I$3</f>
        <v>30884</v>
      </c>
      <c r="AN54" t="s">
        <v>263</v>
      </c>
      <c r="AO54">
        <f>Sync回路_検証用データ群!F65</f>
        <v>2.2529516129032259</v>
      </c>
      <c r="AP54">
        <f t="shared" si="1"/>
        <v>2.2583290088812742</v>
      </c>
      <c r="AQ54">
        <v>125</v>
      </c>
      <c r="AR54">
        <f>TEG_Syncronous_Pipeline_回路規模!E20</f>
        <v>12986</v>
      </c>
      <c r="AS54">
        <f>TEG_Syncronous_Pipeline_回路規模!B20</f>
        <v>25574</v>
      </c>
      <c r="BL54" t="s">
        <v>135</v>
      </c>
      <c r="BM54">
        <v>6</v>
      </c>
      <c r="BN54">
        <f>電力データ_0610以降_100N!$I$65</f>
        <v>1.5473064516129043</v>
      </c>
      <c r="BO54">
        <f>電力データ_0610以降_100N!R65</f>
        <v>1.5028709677419352</v>
      </c>
      <c r="BP54">
        <f t="shared" si="3"/>
        <v>4.4435483870969072E-2</v>
      </c>
      <c r="BQ54">
        <v>62.5</v>
      </c>
      <c r="BR54" s="3">
        <v>3351</v>
      </c>
      <c r="BS54" s="3">
        <f>TEG_Syncronous_Pipeline_回路規模!$C$8</f>
        <v>96</v>
      </c>
      <c r="BW54" s="18" t="s">
        <v>153</v>
      </c>
      <c r="BX54" s="18">
        <v>17</v>
      </c>
    </row>
    <row r="55" spans="1:83" x14ac:dyDescent="0.4">
      <c r="A55" t="s">
        <v>62</v>
      </c>
      <c r="B55">
        <v>9</v>
      </c>
      <c r="C55">
        <f>電力データ0610以降_300N!$F$179</f>
        <v>1.7670483870967757</v>
      </c>
      <c r="D55">
        <v>62.5</v>
      </c>
      <c r="E55">
        <v>300</v>
      </c>
      <c r="F55">
        <v>2</v>
      </c>
      <c r="G55" s="7"/>
      <c r="H55" s="7"/>
      <c r="J55" t="s">
        <v>14</v>
      </c>
      <c r="K55">
        <f t="shared" si="0"/>
        <v>1.7959520166073548</v>
      </c>
      <c r="L55">
        <v>62.5</v>
      </c>
      <c r="M55">
        <v>300</v>
      </c>
      <c r="N55">
        <v>3</v>
      </c>
      <c r="Y55" t="s">
        <v>14</v>
      </c>
      <c r="Z55">
        <v>8</v>
      </c>
      <c r="AA55">
        <f>電力データ0610以降_300N!$F$178</f>
        <v>1.8492741935483872</v>
      </c>
      <c r="AB55">
        <v>62.5</v>
      </c>
      <c r="AC55">
        <f>電力データ0610以降_300N!$D$178</f>
        <v>9786</v>
      </c>
      <c r="AD55" s="7">
        <f>TEG_Syncronous_Pipeline_回路規模!$I$4</f>
        <v>22896</v>
      </c>
      <c r="AE55">
        <v>62.5</v>
      </c>
      <c r="AG55" t="s">
        <v>14</v>
      </c>
      <c r="AH55">
        <f t="shared" si="2"/>
        <v>1.8554126252219207</v>
      </c>
      <c r="AI55">
        <v>62.5</v>
      </c>
      <c r="AJ55">
        <f>電力データ0610以降_300N!$D$178</f>
        <v>9786</v>
      </c>
      <c r="AK55" s="7">
        <f>TEG_Syncronous_Pipeline_回路規模!$I$4</f>
        <v>22896</v>
      </c>
      <c r="AN55" t="s">
        <v>265</v>
      </c>
      <c r="AO55">
        <f>Sync回路_検証用データ群!L133</f>
        <v>2.1136129032258051</v>
      </c>
      <c r="AP55">
        <f t="shared" si="1"/>
        <v>2.1504761130339438</v>
      </c>
      <c r="AQ55">
        <v>125</v>
      </c>
      <c r="AR55">
        <f>TEG_Syncronous_Pipeline_回路規模!E23</f>
        <v>6586</v>
      </c>
      <c r="AS55">
        <f>TEG_Syncronous_Pipeline_回路規模!B23</f>
        <v>22871</v>
      </c>
      <c r="BK55" s="16" t="s">
        <v>293</v>
      </c>
      <c r="BL55" t="s">
        <v>13</v>
      </c>
      <c r="BM55">
        <v>7</v>
      </c>
      <c r="BN55">
        <f>電力データ0610以降_300N!$F$177</f>
        <v>1.885</v>
      </c>
      <c r="BO55">
        <f>電力データ0610以降_300N!I64</f>
        <v>1.5348870967741945</v>
      </c>
      <c r="BP55">
        <f t="shared" ref="BP55:BP64" si="4">BN55-BO55</f>
        <v>0.35011290322580546</v>
      </c>
      <c r="BQ55">
        <v>62.5</v>
      </c>
      <c r="BR55">
        <f>電力データ0610以降_300N!$D$177</f>
        <v>9786</v>
      </c>
      <c r="BS55" s="7">
        <f>TEG_Syncronous_Pipeline_回路規模!$I$3</f>
        <v>30884</v>
      </c>
      <c r="BT55">
        <v>62.5</v>
      </c>
    </row>
    <row r="56" spans="1:83" ht="19.5" thickBot="1" x14ac:dyDescent="0.45">
      <c r="A56" t="s">
        <v>63</v>
      </c>
      <c r="B56">
        <v>10</v>
      </c>
      <c r="C56">
        <f>電力データ0610以降_300N!$F$180</f>
        <v>1.7039193548387102</v>
      </c>
      <c r="D56">
        <v>62.5</v>
      </c>
      <c r="E56">
        <v>300</v>
      </c>
      <c r="F56">
        <v>1</v>
      </c>
      <c r="G56" s="8"/>
      <c r="H56" s="8"/>
      <c r="J56" t="s">
        <v>62</v>
      </c>
      <c r="K56">
        <f t="shared" si="0"/>
        <v>1.7679225806451617</v>
      </c>
      <c r="L56">
        <v>62.5</v>
      </c>
      <c r="M56">
        <v>300</v>
      </c>
      <c r="N56">
        <v>2</v>
      </c>
      <c r="Y56" t="s">
        <v>62</v>
      </c>
      <c r="Z56">
        <v>9</v>
      </c>
      <c r="AA56">
        <f>電力データ0610以降_300N!$F$179</f>
        <v>1.7670483870967757</v>
      </c>
      <c r="AB56">
        <v>62.5</v>
      </c>
      <c r="AC56">
        <f>電力データ0610以降_300N!$D$179</f>
        <v>9786</v>
      </c>
      <c r="AD56" s="7">
        <f>TEG_Syncronous_Pipeline_回路規模!$I$5</f>
        <v>15328</v>
      </c>
      <c r="AE56">
        <v>62.5</v>
      </c>
      <c r="AG56" t="s">
        <v>62</v>
      </c>
      <c r="AH56">
        <f t="shared" si="2"/>
        <v>1.7670020263119017</v>
      </c>
      <c r="AI56">
        <v>62.5</v>
      </c>
      <c r="AJ56">
        <f>電力データ0610以降_300N!$D$179</f>
        <v>9786</v>
      </c>
      <c r="AK56" s="7">
        <f>TEG_Syncronous_Pipeline_回路規模!$I$5</f>
        <v>15328</v>
      </c>
      <c r="BL56" t="s">
        <v>14</v>
      </c>
      <c r="BM56">
        <v>8</v>
      </c>
      <c r="BN56">
        <f>電力データ0610以降_300N!$F$178</f>
        <v>1.8492741935483872</v>
      </c>
      <c r="BO56">
        <f>電力データ0610以降_300N!J64</f>
        <v>1.5388209677419364</v>
      </c>
      <c r="BP56">
        <f t="shared" si="4"/>
        <v>0.31045322580645074</v>
      </c>
      <c r="BQ56">
        <v>62.5</v>
      </c>
      <c r="BR56">
        <f>電力データ0610以降_300N!$D$178</f>
        <v>9786</v>
      </c>
      <c r="BS56" s="7">
        <f>TEG_Syncronous_Pipeline_回路規模!$I$4</f>
        <v>22896</v>
      </c>
      <c r="BT56">
        <v>62.5</v>
      </c>
      <c r="BW56" t="s">
        <v>154</v>
      </c>
    </row>
    <row r="57" spans="1:83" x14ac:dyDescent="0.4">
      <c r="A57" t="s">
        <v>139</v>
      </c>
      <c r="B57">
        <v>16</v>
      </c>
      <c r="C57">
        <f>電力データ0610以降_300N!$T$64</f>
        <v>1.8033225806451634</v>
      </c>
      <c r="D57">
        <v>125</v>
      </c>
      <c r="E57">
        <v>300</v>
      </c>
      <c r="F57">
        <v>0</v>
      </c>
      <c r="J57" t="s">
        <v>63</v>
      </c>
      <c r="K57">
        <f t="shared" si="0"/>
        <v>1.7398931446829682</v>
      </c>
      <c r="L57">
        <v>62.5</v>
      </c>
      <c r="M57">
        <v>300</v>
      </c>
      <c r="N57">
        <v>1</v>
      </c>
      <c r="Y57" t="s">
        <v>63</v>
      </c>
      <c r="Z57">
        <v>10</v>
      </c>
      <c r="AA57">
        <f>電力データ0610以降_300N!$F$180</f>
        <v>1.7039193548387102</v>
      </c>
      <c r="AB57">
        <v>62.5</v>
      </c>
      <c r="AC57">
        <f>電力データ0610以降_300N!$D$180</f>
        <v>9786</v>
      </c>
      <c r="AD57" s="8">
        <f>TEG_Syncronous_Pipeline_回路規模!$I$6</f>
        <v>7830</v>
      </c>
      <c r="AE57">
        <v>62.5</v>
      </c>
      <c r="AG57" t="s">
        <v>63</v>
      </c>
      <c r="AH57">
        <f t="shared" si="2"/>
        <v>1.6794091787131542</v>
      </c>
      <c r="AI57">
        <v>62.5</v>
      </c>
      <c r="AJ57">
        <f>電力データ0610以降_300N!$D$180</f>
        <v>9786</v>
      </c>
      <c r="AK57" s="8">
        <f>TEG_Syncronous_Pipeline_回路規模!$I$6</f>
        <v>7830</v>
      </c>
      <c r="BL57" t="s">
        <v>62</v>
      </c>
      <c r="BM57">
        <v>9</v>
      </c>
      <c r="BN57">
        <f>電力データ0610以降_300N!$F$179</f>
        <v>1.7670483870967757</v>
      </c>
      <c r="BO57">
        <f>電力データ0610以降_300N!K64</f>
        <v>1.5350645161290313</v>
      </c>
      <c r="BP57">
        <f t="shared" si="4"/>
        <v>0.23198387096774442</v>
      </c>
      <c r="BQ57">
        <v>62.5</v>
      </c>
      <c r="BR57">
        <f>電力データ0610以降_300N!$D$179</f>
        <v>9786</v>
      </c>
      <c r="BS57" s="7">
        <f>TEG_Syncronous_Pipeline_回路規模!$I$5</f>
        <v>15328</v>
      </c>
      <c r="BT57">
        <v>62.5</v>
      </c>
      <c r="BW57" s="19"/>
      <c r="BX57" s="19" t="s">
        <v>159</v>
      </c>
      <c r="BY57" s="19" t="s">
        <v>160</v>
      </c>
      <c r="BZ57" s="19" t="s">
        <v>161</v>
      </c>
      <c r="CA57" s="19" t="s">
        <v>162</v>
      </c>
      <c r="CB57" s="19" t="s">
        <v>163</v>
      </c>
    </row>
    <row r="58" spans="1:83" x14ac:dyDescent="0.4">
      <c r="A58" t="s">
        <v>13</v>
      </c>
      <c r="B58">
        <v>12</v>
      </c>
      <c r="C58">
        <f>電力データ0610以降_300N!$G$177</f>
        <v>2.3286935483870961</v>
      </c>
      <c r="D58">
        <v>125</v>
      </c>
      <c r="E58">
        <v>300</v>
      </c>
      <c r="F58">
        <v>4</v>
      </c>
      <c r="G58" s="7"/>
      <c r="H58" s="7"/>
      <c r="J58" t="s">
        <v>139</v>
      </c>
      <c r="K58">
        <f t="shared" si="0"/>
        <v>1.7118637087207749</v>
      </c>
      <c r="L58">
        <v>62.5</v>
      </c>
      <c r="M58">
        <v>300</v>
      </c>
      <c r="N58">
        <v>0</v>
      </c>
      <c r="Y58" t="s">
        <v>138</v>
      </c>
      <c r="Z58">
        <v>11</v>
      </c>
      <c r="AA58">
        <f>電力データ0610以降_300N!$G$64</f>
        <v>1.6343709677419351</v>
      </c>
      <c r="AB58">
        <v>62.5</v>
      </c>
      <c r="AC58">
        <v>9786</v>
      </c>
      <c r="AD58">
        <f>TEG_Syncronous_Pipeline_回路規模!$I$7</f>
        <v>96</v>
      </c>
      <c r="AE58">
        <v>62.5</v>
      </c>
      <c r="AG58" t="s">
        <v>138</v>
      </c>
      <c r="AH58">
        <f t="shared" si="2"/>
        <v>1.5890593409792635</v>
      </c>
      <c r="AI58">
        <v>62.5</v>
      </c>
      <c r="AJ58">
        <v>9786</v>
      </c>
      <c r="AK58">
        <f>TEG_Syncronous_Pipeline_回路規模!$I$7</f>
        <v>96</v>
      </c>
      <c r="BL58" t="s">
        <v>63</v>
      </c>
      <c r="BM58">
        <v>10</v>
      </c>
      <c r="BN58">
        <f>電力データ0610以降_300N!$F$180</f>
        <v>1.7039193548387102</v>
      </c>
      <c r="BO58">
        <f>電力データ0610以降_300N!L64</f>
        <v>1.5384838709677424</v>
      </c>
      <c r="BP58">
        <f t="shared" si="4"/>
        <v>0.16543548387096774</v>
      </c>
      <c r="BQ58">
        <v>62.5</v>
      </c>
      <c r="BR58">
        <f>電力データ0610以降_300N!$D$180</f>
        <v>9786</v>
      </c>
      <c r="BS58" s="8">
        <f>TEG_Syncronous_Pipeline_回路規模!$I$6</f>
        <v>7830</v>
      </c>
      <c r="BT58">
        <v>62.5</v>
      </c>
      <c r="BW58" s="17" t="s">
        <v>155</v>
      </c>
      <c r="BX58" s="17">
        <v>3</v>
      </c>
      <c r="BY58" s="17">
        <v>0.53334967665370148</v>
      </c>
      <c r="BZ58" s="17">
        <v>0.17778322555123383</v>
      </c>
      <c r="CA58" s="17">
        <v>75.841842869537231</v>
      </c>
      <c r="CB58" s="17">
        <v>1.7195588035737198E-8</v>
      </c>
    </row>
    <row r="59" spans="1:83" x14ac:dyDescent="0.4">
      <c r="A59" t="s">
        <v>14</v>
      </c>
      <c r="B59">
        <v>13</v>
      </c>
      <c r="C59">
        <f>電力データ0610以降_300N!$G$178</f>
        <v>2.2266935483870971</v>
      </c>
      <c r="D59">
        <v>125</v>
      </c>
      <c r="E59">
        <v>300</v>
      </c>
      <c r="F59">
        <v>3</v>
      </c>
      <c r="G59" s="7"/>
      <c r="H59" s="7"/>
      <c r="J59" t="s">
        <v>13</v>
      </c>
      <c r="K59">
        <f t="shared" si="0"/>
        <v>2.1574750009566448</v>
      </c>
      <c r="L59">
        <v>125</v>
      </c>
      <c r="M59">
        <v>300</v>
      </c>
      <c r="N59">
        <v>4</v>
      </c>
      <c r="Y59" t="s">
        <v>138</v>
      </c>
      <c r="Z59">
        <v>16</v>
      </c>
      <c r="AA59">
        <f>電力データ0610以降_300N!$T$64</f>
        <v>1.8033225806451634</v>
      </c>
      <c r="AB59">
        <v>125</v>
      </c>
      <c r="AC59">
        <v>9786</v>
      </c>
      <c r="AD59">
        <f>TEG_Syncronous_Pipeline_回路規模!$I$7</f>
        <v>96</v>
      </c>
      <c r="AE59">
        <v>125</v>
      </c>
      <c r="AG59" t="s">
        <v>13</v>
      </c>
      <c r="AH59">
        <f t="shared" si="2"/>
        <v>2.2822232803866633</v>
      </c>
      <c r="AI59">
        <v>125</v>
      </c>
      <c r="AJ59">
        <f>電力データ0610以降_300N!$D$177</f>
        <v>9786</v>
      </c>
      <c r="AK59" s="7">
        <f>TEG_Syncronous_Pipeline_回路規模!$I$3</f>
        <v>30884</v>
      </c>
      <c r="BL59" t="s">
        <v>138</v>
      </c>
      <c r="BM59">
        <v>11</v>
      </c>
      <c r="BN59">
        <f>電力データ0610以降_300N!$G$64</f>
        <v>1.6343709677419351</v>
      </c>
      <c r="BO59">
        <f>電力データ0610以降_300N!L64</f>
        <v>1.5384838709677424</v>
      </c>
      <c r="BP59">
        <f t="shared" si="4"/>
        <v>9.5887096774192715E-2</v>
      </c>
      <c r="BQ59">
        <v>62.5</v>
      </c>
      <c r="BR59">
        <v>9786</v>
      </c>
      <c r="BS59">
        <f>TEG_Syncronous_Pipeline_回路規模!$I$7</f>
        <v>96</v>
      </c>
      <c r="BT59">
        <v>62.5</v>
      </c>
      <c r="BW59" s="17" t="s">
        <v>156</v>
      </c>
      <c r="BX59" s="17">
        <v>13</v>
      </c>
      <c r="BY59" s="17">
        <v>3.0473704814131742E-2</v>
      </c>
      <c r="BZ59" s="17">
        <v>2.3441311395485955E-3</v>
      </c>
      <c r="CA59" s="17"/>
      <c r="CB59" s="17"/>
    </row>
    <row r="60" spans="1:83" ht="19.5" thickBot="1" x14ac:dyDescent="0.45">
      <c r="A60" t="s">
        <v>62</v>
      </c>
      <c r="B60">
        <v>14</v>
      </c>
      <c r="C60">
        <f>電力データ0610以降_300N!$G$179</f>
        <v>2.0861935483870964</v>
      </c>
      <c r="D60">
        <v>125</v>
      </c>
      <c r="E60">
        <v>300</v>
      </c>
      <c r="F60">
        <v>2</v>
      </c>
      <c r="G60" s="7"/>
      <c r="H60" s="7"/>
      <c r="J60" t="s">
        <v>14</v>
      </c>
      <c r="K60">
        <f t="shared" si="0"/>
        <v>2.1294455649944517</v>
      </c>
      <c r="L60">
        <v>125</v>
      </c>
      <c r="M60">
        <v>300</v>
      </c>
      <c r="N60">
        <v>3</v>
      </c>
      <c r="Y60" t="s">
        <v>13</v>
      </c>
      <c r="Z60">
        <v>12</v>
      </c>
      <c r="AA60">
        <f>電力データ0610以降_300N!$G$177</f>
        <v>2.3286935483870961</v>
      </c>
      <c r="AB60">
        <v>125</v>
      </c>
      <c r="AC60">
        <f>電力データ0610以降_300N!$D$177</f>
        <v>9786</v>
      </c>
      <c r="AD60" s="7">
        <f>TEG_Syncronous_Pipeline_回路規模!$I$3</f>
        <v>30884</v>
      </c>
      <c r="AE60">
        <v>125</v>
      </c>
      <c r="AG60" t="s">
        <v>14</v>
      </c>
      <c r="AH60">
        <f t="shared" si="2"/>
        <v>2.1889061736090172</v>
      </c>
      <c r="AI60">
        <v>125</v>
      </c>
      <c r="AJ60">
        <f>電力データ0610以降_300N!$D$178</f>
        <v>9786</v>
      </c>
      <c r="AK60" s="7">
        <f>TEG_Syncronous_Pipeline_回路規模!$I$4</f>
        <v>22896</v>
      </c>
      <c r="BK60" s="16" t="s">
        <v>292</v>
      </c>
      <c r="BL60" t="s">
        <v>138</v>
      </c>
      <c r="BM60">
        <v>16</v>
      </c>
      <c r="BN60">
        <f>電力データ0610以降_300N!$T$64</f>
        <v>1.8033225806451634</v>
      </c>
      <c r="BO60">
        <f>電力データ0610以降_300N!V64</f>
        <v>1.6230967741935489</v>
      </c>
      <c r="BP60">
        <f t="shared" si="4"/>
        <v>0.18022580645161446</v>
      </c>
      <c r="BQ60">
        <v>125</v>
      </c>
      <c r="BR60">
        <v>9786</v>
      </c>
      <c r="BS60">
        <f>TEG_Syncronous_Pipeline_回路規模!$I$7</f>
        <v>96</v>
      </c>
      <c r="BT60">
        <v>125</v>
      </c>
      <c r="BW60" s="18" t="s">
        <v>157</v>
      </c>
      <c r="BX60" s="18">
        <v>16</v>
      </c>
      <c r="BY60" s="18">
        <v>0.56382338146783317</v>
      </c>
      <c r="BZ60" s="18"/>
      <c r="CA60" s="18"/>
      <c r="CB60" s="18"/>
    </row>
    <row r="61" spans="1:83" ht="19.5" thickBot="1" x14ac:dyDescent="0.45">
      <c r="A61" t="s">
        <v>63</v>
      </c>
      <c r="B61">
        <v>15</v>
      </c>
      <c r="C61">
        <f>電力データ0610以降_300N!$G$180</f>
        <v>2.0621774193548377</v>
      </c>
      <c r="D61">
        <v>125</v>
      </c>
      <c r="E61">
        <v>300</v>
      </c>
      <c r="F61">
        <v>1</v>
      </c>
      <c r="G61" s="8"/>
      <c r="H61" s="8"/>
      <c r="J61" t="s">
        <v>62</v>
      </c>
      <c r="K61">
        <f t="shared" si="0"/>
        <v>2.1014161290322582</v>
      </c>
      <c r="L61">
        <v>125</v>
      </c>
      <c r="M61">
        <v>300</v>
      </c>
      <c r="N61">
        <v>2</v>
      </c>
      <c r="Y61" t="s">
        <v>14</v>
      </c>
      <c r="Z61">
        <v>13</v>
      </c>
      <c r="AA61">
        <f>電力データ0610以降_300N!$G$178</f>
        <v>2.2266935483870971</v>
      </c>
      <c r="AB61">
        <v>125</v>
      </c>
      <c r="AC61">
        <f>電力データ0610以降_300N!$D$178</f>
        <v>9786</v>
      </c>
      <c r="AD61" s="7">
        <f>TEG_Syncronous_Pipeline_回路規模!$I$4</f>
        <v>22896</v>
      </c>
      <c r="AE61">
        <v>125</v>
      </c>
      <c r="AG61" t="s">
        <v>62</v>
      </c>
      <c r="AH61">
        <f t="shared" si="2"/>
        <v>2.1004955746989982</v>
      </c>
      <c r="AI61">
        <v>125</v>
      </c>
      <c r="AJ61">
        <f>電力データ0610以降_300N!$D$179</f>
        <v>9786</v>
      </c>
      <c r="AK61" s="7">
        <f>TEG_Syncronous_Pipeline_回路規模!$I$5</f>
        <v>15328</v>
      </c>
      <c r="BL61" t="s">
        <v>13</v>
      </c>
      <c r="BM61">
        <v>12</v>
      </c>
      <c r="BN61">
        <f>電力データ0610以降_300N!$G$177</f>
        <v>2.3286935483870961</v>
      </c>
      <c r="BO61">
        <f>電力データ0610以降_300N!W64</f>
        <v>1.6256129032258058</v>
      </c>
      <c r="BP61">
        <f t="shared" si="4"/>
        <v>0.70308064516129032</v>
      </c>
      <c r="BQ61">
        <v>125</v>
      </c>
      <c r="BR61">
        <f>電力データ0610以降_300N!$D$177</f>
        <v>9786</v>
      </c>
      <c r="BS61" s="7">
        <f>TEG_Syncronous_Pipeline_回路規模!$I$3</f>
        <v>30884</v>
      </c>
      <c r="BT61">
        <v>125</v>
      </c>
    </row>
    <row r="62" spans="1:83" x14ac:dyDescent="0.4">
      <c r="A62" t="s">
        <v>139</v>
      </c>
      <c r="B62">
        <v>11</v>
      </c>
      <c r="C62">
        <f>電力データ0610以降_300N!$G$64</f>
        <v>1.6343709677419351</v>
      </c>
      <c r="D62">
        <v>62.5</v>
      </c>
      <c r="E62">
        <v>300</v>
      </c>
      <c r="F62">
        <v>0</v>
      </c>
      <c r="J62" t="s">
        <v>63</v>
      </c>
      <c r="K62">
        <f t="shared" si="0"/>
        <v>2.0733866930700646</v>
      </c>
      <c r="L62">
        <v>125</v>
      </c>
      <c r="M62">
        <v>300</v>
      </c>
      <c r="N62">
        <v>1</v>
      </c>
      <c r="Y62" t="s">
        <v>62</v>
      </c>
      <c r="Z62">
        <v>14</v>
      </c>
      <c r="AA62">
        <f>電力データ0610以降_300N!$G$179</f>
        <v>2.0861935483870964</v>
      </c>
      <c r="AB62">
        <v>125</v>
      </c>
      <c r="AC62">
        <f>電力データ0610以降_300N!$D$179</f>
        <v>9786</v>
      </c>
      <c r="AD62" s="7">
        <f>TEG_Syncronous_Pipeline_回路規模!$I$5</f>
        <v>15328</v>
      </c>
      <c r="AE62">
        <v>125</v>
      </c>
      <c r="AG62" t="s">
        <v>63</v>
      </c>
      <c r="AH62">
        <f t="shared" si="2"/>
        <v>2.0129027271002506</v>
      </c>
      <c r="AI62">
        <v>125</v>
      </c>
      <c r="AJ62">
        <f>電力データ0610以降_300N!$D$180</f>
        <v>9786</v>
      </c>
      <c r="AK62" s="8">
        <f>TEG_Syncronous_Pipeline_回路規模!$I$6</f>
        <v>7830</v>
      </c>
      <c r="BL62" t="s">
        <v>14</v>
      </c>
      <c r="BM62">
        <v>13</v>
      </c>
      <c r="BN62">
        <f>電力データ0610以降_300N!$G$178</f>
        <v>2.2266935483870971</v>
      </c>
      <c r="BO62">
        <f>電力データ0610以降_300N!X64</f>
        <v>1.6237096774193553</v>
      </c>
      <c r="BP62">
        <f t="shared" si="4"/>
        <v>0.60298387096774175</v>
      </c>
      <c r="BQ62">
        <v>125</v>
      </c>
      <c r="BR62">
        <f>電力データ0610以降_300N!$D$178</f>
        <v>9786</v>
      </c>
      <c r="BS62" s="7">
        <f>TEG_Syncronous_Pipeline_回路規模!$I$4</f>
        <v>22896</v>
      </c>
      <c r="BT62">
        <v>125</v>
      </c>
      <c r="BW62" s="19"/>
      <c r="BX62" s="19" t="s">
        <v>164</v>
      </c>
      <c r="BY62" s="19" t="s">
        <v>152</v>
      </c>
      <c r="BZ62" s="19" t="s">
        <v>165</v>
      </c>
      <c r="CA62" s="19" t="s">
        <v>166</v>
      </c>
      <c r="CB62" s="19" t="s">
        <v>167</v>
      </c>
      <c r="CC62" s="19" t="s">
        <v>168</v>
      </c>
      <c r="CD62" s="19" t="s">
        <v>169</v>
      </c>
      <c r="CE62" s="19" t="s">
        <v>170</v>
      </c>
    </row>
    <row r="63" spans="1:83" x14ac:dyDescent="0.4">
      <c r="J63" t="s">
        <v>139</v>
      </c>
      <c r="K63">
        <f t="shared" si="0"/>
        <v>2.0453572571078711</v>
      </c>
      <c r="L63">
        <v>125</v>
      </c>
      <c r="M63">
        <v>300</v>
      </c>
      <c r="N63">
        <v>0</v>
      </c>
      <c r="Y63" t="s">
        <v>63</v>
      </c>
      <c r="Z63">
        <v>15</v>
      </c>
      <c r="AA63">
        <f>電力データ0610以降_300N!$G$180</f>
        <v>2.0621774193548377</v>
      </c>
      <c r="AB63">
        <v>125</v>
      </c>
      <c r="AC63">
        <f>電力データ0610以降_300N!$D$180</f>
        <v>9786</v>
      </c>
      <c r="AD63" s="8">
        <f>TEG_Syncronous_Pipeline_回路規模!$I$6</f>
        <v>7830</v>
      </c>
      <c r="AE63">
        <v>125</v>
      </c>
      <c r="AG63" t="s">
        <v>138</v>
      </c>
      <c r="AH63">
        <f t="shared" si="2"/>
        <v>1.9225528893663597</v>
      </c>
      <c r="AI63">
        <v>125</v>
      </c>
      <c r="AJ63">
        <v>9786</v>
      </c>
      <c r="AK63">
        <f>TEG_Syncronous_Pipeline_回路規模!$I$7</f>
        <v>96</v>
      </c>
      <c r="BL63" t="s">
        <v>62</v>
      </c>
      <c r="BM63">
        <v>14</v>
      </c>
      <c r="BN63">
        <f>電力データ0610以降_300N!$G$179</f>
        <v>2.0861935483870964</v>
      </c>
      <c r="BO63">
        <f>電力データ0610以降_300N!Y64</f>
        <v>1.6637258064516123</v>
      </c>
      <c r="BP63">
        <f t="shared" si="4"/>
        <v>0.42246774193548409</v>
      </c>
      <c r="BQ63">
        <v>125</v>
      </c>
      <c r="BR63">
        <f>電力データ0610以降_300N!$D$179</f>
        <v>9786</v>
      </c>
      <c r="BS63" s="7">
        <f>TEG_Syncronous_Pipeline_回路規模!$I$5</f>
        <v>15328</v>
      </c>
      <c r="BT63">
        <v>125</v>
      </c>
      <c r="BW63" s="17" t="s">
        <v>158</v>
      </c>
      <c r="BX63" s="17">
        <v>-0.24811928341600031</v>
      </c>
      <c r="BY63" s="17">
        <v>3.9705252746751421E-2</v>
      </c>
      <c r="BZ63" s="17">
        <v>-6.2490291901315445</v>
      </c>
      <c r="CA63" s="17">
        <v>2.9763718167238897E-5</v>
      </c>
      <c r="CB63" s="17">
        <v>-0.33389726694701527</v>
      </c>
      <c r="CC63" s="17">
        <v>-0.16234129988498536</v>
      </c>
      <c r="CD63" s="17">
        <v>-0.33389726694701527</v>
      </c>
      <c r="CE63" s="17">
        <v>-0.16234129988498536</v>
      </c>
    </row>
    <row r="64" spans="1:83" x14ac:dyDescent="0.4">
      <c r="BL64" t="s">
        <v>63</v>
      </c>
      <c r="BM64">
        <v>15</v>
      </c>
      <c r="BN64">
        <f>電力データ0610以降_300N!$G$180</f>
        <v>2.0621774193548377</v>
      </c>
      <c r="BO64">
        <f>電力データ0610以降_300N!Y64</f>
        <v>1.6637258064516123</v>
      </c>
      <c r="BP64">
        <f t="shared" si="4"/>
        <v>0.39845161290322539</v>
      </c>
      <c r="BQ64">
        <v>125</v>
      </c>
      <c r="BR64">
        <f>電力データ0610以降_300N!$D$180</f>
        <v>9786</v>
      </c>
      <c r="BS64" s="8">
        <f>TEG_Syncronous_Pipeline_回路規模!$I$6</f>
        <v>7830</v>
      </c>
      <c r="BT64">
        <v>125</v>
      </c>
      <c r="BW64" s="17" t="s">
        <v>171</v>
      </c>
      <c r="BX64" s="17">
        <v>3.6906787096774247E-3</v>
      </c>
      <c r="BY64" s="17">
        <v>4.8993778042704175E-4</v>
      </c>
      <c r="BZ64" s="17">
        <v>7.5329538915340208</v>
      </c>
      <c r="CA64" s="17">
        <v>4.2930988622215516E-6</v>
      </c>
      <c r="CB64" s="17">
        <v>2.6322324852258937E-3</v>
      </c>
      <c r="CC64" s="17">
        <v>4.7491249341289551E-3</v>
      </c>
      <c r="CD64" s="17">
        <v>2.6322324852258937E-3</v>
      </c>
      <c r="CE64" s="17">
        <v>4.7491249341289551E-3</v>
      </c>
    </row>
    <row r="65" spans="1:83" x14ac:dyDescent="0.4">
      <c r="Y65" t="s">
        <v>179</v>
      </c>
      <c r="BW65" s="17" t="s">
        <v>172</v>
      </c>
      <c r="BX65" s="17">
        <v>6.8407954193853197E-6</v>
      </c>
      <c r="BY65" s="17">
        <v>4.4083876782409694E-6</v>
      </c>
      <c r="BZ65" s="17">
        <v>1.551768110856105</v>
      </c>
      <c r="CA65" s="17">
        <v>0.14471450663669516</v>
      </c>
      <c r="CB65" s="17">
        <v>-2.6829471462232532E-6</v>
      </c>
      <c r="CC65" s="17">
        <v>1.6364537984993893E-5</v>
      </c>
      <c r="CD65" s="17">
        <v>-2.6829471462232532E-6</v>
      </c>
      <c r="CE65" s="17">
        <v>1.6364537984993893E-5</v>
      </c>
    </row>
    <row r="66" spans="1:83" ht="19.5" thickBot="1" x14ac:dyDescent="0.45">
      <c r="Y66" t="s">
        <v>147</v>
      </c>
      <c r="BW66" s="18" t="s">
        <v>173</v>
      </c>
      <c r="BX66" s="18">
        <v>1.1766386025397143E-5</v>
      </c>
      <c r="BY66" s="18">
        <v>1.0754232911198751E-6</v>
      </c>
      <c r="BZ66" s="18">
        <v>10.941167187428498</v>
      </c>
      <c r="CA66" s="18">
        <v>6.2761204967390017E-8</v>
      </c>
      <c r="CB66" s="18">
        <v>9.443075254831703E-6</v>
      </c>
      <c r="CC66" s="18">
        <v>1.4089696795962582E-5</v>
      </c>
      <c r="CD66" s="18">
        <v>9.443075254831703E-6</v>
      </c>
      <c r="CE66" s="18">
        <v>1.4089696795962582E-5</v>
      </c>
    </row>
    <row r="67" spans="1:83" ht="19.5" thickBot="1" x14ac:dyDescent="0.45"/>
    <row r="68" spans="1:83" x14ac:dyDescent="0.4">
      <c r="A68" t="s">
        <v>147</v>
      </c>
      <c r="Y68" s="14" t="s">
        <v>148</v>
      </c>
      <c r="Z68" s="14"/>
    </row>
    <row r="69" spans="1:83" ht="19.5" thickBot="1" x14ac:dyDescent="0.45">
      <c r="Y69" s="11" t="s">
        <v>149</v>
      </c>
      <c r="Z69" s="11">
        <v>0.98102697910696002</v>
      </c>
    </row>
    <row r="70" spans="1:83" x14ac:dyDescent="0.4">
      <c r="A70" s="14" t="s">
        <v>148</v>
      </c>
      <c r="B70" s="14"/>
      <c r="Y70" s="11" t="s">
        <v>150</v>
      </c>
      <c r="Z70" s="11">
        <v>0.9624139337357277</v>
      </c>
    </row>
    <row r="71" spans="1:83" x14ac:dyDescent="0.4">
      <c r="A71" s="11" t="s">
        <v>149</v>
      </c>
      <c r="B71" s="11">
        <v>0.9273780480647088</v>
      </c>
      <c r="Y71" s="11" t="s">
        <v>151</v>
      </c>
      <c r="Z71" s="11">
        <v>0.95374022613628029</v>
      </c>
    </row>
    <row r="72" spans="1:83" x14ac:dyDescent="0.4">
      <c r="A72" s="11" t="s">
        <v>150</v>
      </c>
      <c r="B72" s="11">
        <v>0.86003004403230943</v>
      </c>
      <c r="Y72" s="11" t="s">
        <v>152</v>
      </c>
      <c r="Z72" s="11">
        <v>4.9674824326196736E-2</v>
      </c>
      <c r="AI72" t="s">
        <v>355</v>
      </c>
    </row>
    <row r="73" spans="1:83" ht="19.5" thickBot="1" x14ac:dyDescent="0.45">
      <c r="A73" s="11" t="s">
        <v>151</v>
      </c>
      <c r="B73" s="11">
        <v>0.82772928496284237</v>
      </c>
      <c r="Y73" s="12" t="s">
        <v>153</v>
      </c>
      <c r="Z73" s="12">
        <v>17</v>
      </c>
    </row>
    <row r="74" spans="1:83" x14ac:dyDescent="0.4">
      <c r="A74" s="11" t="s">
        <v>152</v>
      </c>
      <c r="B74" s="11">
        <v>9.5860638055187422E-2</v>
      </c>
    </row>
    <row r="75" spans="1:83" ht="19.5" thickBot="1" x14ac:dyDescent="0.45">
      <c r="A75" s="12" t="s">
        <v>153</v>
      </c>
      <c r="B75" s="12">
        <v>17</v>
      </c>
      <c r="Y75" t="s">
        <v>154</v>
      </c>
    </row>
    <row r="76" spans="1:83" x14ac:dyDescent="0.4">
      <c r="Y76" s="13"/>
      <c r="Z76" s="13" t="s">
        <v>159</v>
      </c>
      <c r="AA76" s="13" t="s">
        <v>160</v>
      </c>
      <c r="AB76" s="13" t="s">
        <v>161</v>
      </c>
      <c r="AC76" s="13" t="s">
        <v>162</v>
      </c>
      <c r="AD76" s="13" t="s">
        <v>163</v>
      </c>
    </row>
    <row r="77" spans="1:83" ht="19.5" thickBot="1" x14ac:dyDescent="0.45">
      <c r="A77" t="s">
        <v>154</v>
      </c>
      <c r="Y77" s="11" t="s">
        <v>155</v>
      </c>
      <c r="Z77" s="11">
        <v>3</v>
      </c>
      <c r="AA77" s="11">
        <v>0.82139311663565817</v>
      </c>
      <c r="AB77" s="11">
        <v>0.27379770554521937</v>
      </c>
      <c r="AC77" s="11">
        <v>110.95761791613025</v>
      </c>
      <c r="AD77" s="11">
        <v>1.6339362401403453E-9</v>
      </c>
    </row>
    <row r="78" spans="1:83" x14ac:dyDescent="0.4">
      <c r="A78" s="13"/>
      <c r="B78" s="13" t="s">
        <v>159</v>
      </c>
      <c r="C78" s="13" t="s">
        <v>160</v>
      </c>
      <c r="D78" s="13" t="s">
        <v>161</v>
      </c>
      <c r="E78" s="13" t="s">
        <v>162</v>
      </c>
      <c r="F78" s="13" t="s">
        <v>163</v>
      </c>
      <c r="Y78" s="11" t="s">
        <v>156</v>
      </c>
      <c r="Z78" s="11">
        <v>13</v>
      </c>
      <c r="AA78" s="11">
        <v>3.2078646233900589E-2</v>
      </c>
      <c r="AB78" s="11">
        <v>2.4675881718385067E-3</v>
      </c>
      <c r="AC78" s="11"/>
      <c r="AD78" s="11"/>
    </row>
    <row r="79" spans="1:83" ht="19.5" thickBot="1" x14ac:dyDescent="0.45">
      <c r="A79" s="11" t="s">
        <v>155</v>
      </c>
      <c r="B79" s="11">
        <v>3</v>
      </c>
      <c r="C79" s="11">
        <v>0.73401135780103921</v>
      </c>
      <c r="D79" s="11">
        <v>0.24467045260034639</v>
      </c>
      <c r="E79" s="11">
        <v>26.625691432907214</v>
      </c>
      <c r="F79" s="11">
        <v>8.0145502490042112E-6</v>
      </c>
      <c r="Y79" s="12" t="s">
        <v>157</v>
      </c>
      <c r="Z79" s="12">
        <v>16</v>
      </c>
      <c r="AA79" s="12">
        <v>0.85347176286955873</v>
      </c>
      <c r="AB79" s="12"/>
      <c r="AC79" s="12"/>
      <c r="AD79" s="12"/>
    </row>
    <row r="80" spans="1:83" ht="19.5" thickBot="1" x14ac:dyDescent="0.45">
      <c r="A80" s="11" t="s">
        <v>156</v>
      </c>
      <c r="B80" s="11">
        <v>13</v>
      </c>
      <c r="C80" s="11">
        <v>0.11946040506851942</v>
      </c>
      <c r="D80" s="11">
        <v>9.1892619283476477E-3</v>
      </c>
      <c r="E80" s="11"/>
      <c r="F80" s="11"/>
    </row>
    <row r="81" spans="1:36" ht="19.5" thickBot="1" x14ac:dyDescent="0.45">
      <c r="A81" s="12" t="s">
        <v>157</v>
      </c>
      <c r="B81" s="12">
        <v>16</v>
      </c>
      <c r="C81" s="12">
        <v>0.85347176286955861</v>
      </c>
      <c r="D81" s="12"/>
      <c r="E81" s="12"/>
      <c r="F81" s="12"/>
      <c r="Y81" s="13"/>
      <c r="Z81" s="13" t="s">
        <v>164</v>
      </c>
      <c r="AA81" s="13" t="s">
        <v>152</v>
      </c>
      <c r="AB81" s="13" t="s">
        <v>165</v>
      </c>
      <c r="AC81" s="13" t="s">
        <v>166</v>
      </c>
      <c r="AD81" s="13" t="s">
        <v>167</v>
      </c>
      <c r="AE81" s="13" t="s">
        <v>168</v>
      </c>
      <c r="AF81" s="13" t="s">
        <v>169</v>
      </c>
      <c r="AG81" s="13" t="s">
        <v>170</v>
      </c>
    </row>
    <row r="82" spans="1:36" ht="19.5" thickBot="1" x14ac:dyDescent="0.45">
      <c r="Y82" s="11" t="s">
        <v>158</v>
      </c>
      <c r="Z82" s="11">
        <v>1.1378135138436984</v>
      </c>
      <c r="AA82" s="11">
        <v>4.0737404255899494E-2</v>
      </c>
      <c r="AB82" s="11">
        <v>27.930437263413097</v>
      </c>
      <c r="AC82" s="11">
        <v>5.4287410656189448E-13</v>
      </c>
      <c r="AD82" s="11">
        <v>1.0498057025435992</v>
      </c>
      <c r="AE82" s="11">
        <v>1.2258213251437977</v>
      </c>
      <c r="AF82" s="11">
        <v>1.0498057025435992</v>
      </c>
      <c r="AG82" s="11">
        <v>1.2258213251437977</v>
      </c>
    </row>
    <row r="83" spans="1:36" x14ac:dyDescent="0.4">
      <c r="A83" s="13"/>
      <c r="B83" s="13" t="s">
        <v>164</v>
      </c>
      <c r="C83" s="13" t="s">
        <v>152</v>
      </c>
      <c r="D83" s="13" t="s">
        <v>165</v>
      </c>
      <c r="E83" s="13" t="s">
        <v>166</v>
      </c>
      <c r="F83" s="13" t="s">
        <v>167</v>
      </c>
      <c r="G83" s="13" t="s">
        <v>168</v>
      </c>
      <c r="H83" s="13" t="s">
        <v>169</v>
      </c>
      <c r="I83" s="13" t="s">
        <v>170</v>
      </c>
      <c r="Y83" s="11" t="s">
        <v>171</v>
      </c>
      <c r="Z83" s="11">
        <v>5.3358967741935449E-3</v>
      </c>
      <c r="AA83" s="11">
        <v>5.0267387916646622E-4</v>
      </c>
      <c r="AB83" s="11">
        <v>10.61502694956326</v>
      </c>
      <c r="AC83" s="11">
        <v>8.9634787036070014E-8</v>
      </c>
      <c r="AD83" s="11">
        <v>4.2499358812197463E-3</v>
      </c>
      <c r="AE83" s="11">
        <v>6.4218576671673435E-3</v>
      </c>
      <c r="AF83" s="11">
        <v>4.2499358812197463E-3</v>
      </c>
      <c r="AG83" s="11">
        <v>6.4218576671673435E-3</v>
      </c>
    </row>
    <row r="84" spans="1:36" x14ac:dyDescent="0.4">
      <c r="A84" s="11" t="s">
        <v>158</v>
      </c>
      <c r="B84" s="11">
        <v>1.0725314764856695</v>
      </c>
      <c r="C84" s="11">
        <v>8.8460816310478474E-2</v>
      </c>
      <c r="D84" s="11">
        <v>12.124367841252043</v>
      </c>
      <c r="E84" s="11">
        <v>1.8464772911648863E-8</v>
      </c>
      <c r="F84" s="11">
        <v>0.88142350160339922</v>
      </c>
      <c r="G84" s="11">
        <v>1.2636394513679399</v>
      </c>
      <c r="H84" s="11">
        <v>0.88142350160339922</v>
      </c>
      <c r="I84" s="11">
        <v>1.2636394513679399</v>
      </c>
      <c r="Y84" s="11" t="s">
        <v>172</v>
      </c>
      <c r="Z84" s="11">
        <v>1.191812704229186E-5</v>
      </c>
      <c r="AA84" s="11">
        <v>4.5229852108150067E-6</v>
      </c>
      <c r="AB84" s="11">
        <v>2.6350134892756603</v>
      </c>
      <c r="AC84" s="11">
        <v>2.0590266265889539E-2</v>
      </c>
      <c r="AD84" s="11">
        <v>2.1468115592023626E-6</v>
      </c>
      <c r="AE84" s="11">
        <v>2.1689442525381358E-5</v>
      </c>
      <c r="AF84" s="11">
        <v>2.1468115592023626E-6</v>
      </c>
      <c r="AG84" s="11">
        <v>2.1689442525381358E-5</v>
      </c>
    </row>
    <row r="85" spans="1:36" ht="19.5" thickBot="1" x14ac:dyDescent="0.45">
      <c r="A85" s="11" t="s">
        <v>171</v>
      </c>
      <c r="B85" s="11">
        <v>5.3358967741935449E-3</v>
      </c>
      <c r="C85" s="11">
        <v>9.7004145347649924E-4</v>
      </c>
      <c r="D85" s="11">
        <v>5.5006894345292174</v>
      </c>
      <c r="E85" s="11">
        <v>1.0202780219498068E-4</v>
      </c>
      <c r="F85" s="11">
        <v>3.2402496226333058E-3</v>
      </c>
      <c r="G85" s="11">
        <v>7.4315439257537841E-3</v>
      </c>
      <c r="H85" s="11">
        <v>3.2402496226333058E-3</v>
      </c>
      <c r="I85" s="11">
        <v>7.4315439257537841E-3</v>
      </c>
      <c r="Y85" s="12" t="s">
        <v>173</v>
      </c>
      <c r="Z85" s="12">
        <v>1.16821615895902E-5</v>
      </c>
      <c r="AA85" s="12">
        <v>1.1033792842470866E-6</v>
      </c>
      <c r="AB85" s="12">
        <v>10.58762091728212</v>
      </c>
      <c r="AC85" s="12">
        <v>9.2397099462982576E-8</v>
      </c>
      <c r="AD85" s="12">
        <v>9.2984555677124719E-6</v>
      </c>
      <c r="AE85" s="12">
        <v>1.4065867611467986E-5</v>
      </c>
      <c r="AF85" s="12">
        <v>9.2984555677124719E-6</v>
      </c>
      <c r="AG85" s="12">
        <v>1.4065867611467986E-5</v>
      </c>
    </row>
    <row r="86" spans="1:36" x14ac:dyDescent="0.4">
      <c r="A86" s="11" t="s">
        <v>172</v>
      </c>
      <c r="B86" s="11">
        <v>1.0194622794933625E-3</v>
      </c>
      <c r="C86" s="11">
        <v>3.0844054142009809E-4</v>
      </c>
      <c r="D86" s="11">
        <v>3.3052149201905596</v>
      </c>
      <c r="E86" s="11">
        <v>5.6903413152638183E-3</v>
      </c>
      <c r="F86" s="11">
        <v>3.5311700142696891E-4</v>
      </c>
      <c r="G86" s="11">
        <v>1.6858075575597563E-3</v>
      </c>
      <c r="H86" s="11">
        <v>3.5311700142696891E-4</v>
      </c>
      <c r="I86" s="11">
        <v>1.6858075575597563E-3</v>
      </c>
    </row>
    <row r="87" spans="1:36" ht="19.5" thickBot="1" x14ac:dyDescent="0.45">
      <c r="A87" s="12" t="s">
        <v>173</v>
      </c>
      <c r="B87" s="12">
        <v>2.8029435962193355E-2</v>
      </c>
      <c r="C87" s="12">
        <v>6.1767574855942269E-3</v>
      </c>
      <c r="D87" s="12">
        <v>4.5378883706483775</v>
      </c>
      <c r="E87" s="12">
        <v>5.5732557861685062E-4</v>
      </c>
      <c r="F87" s="12">
        <v>1.4685362691743658E-2</v>
      </c>
      <c r="G87" s="12">
        <v>4.1373509232643053E-2</v>
      </c>
      <c r="H87" s="12">
        <v>1.4685362691743658E-2</v>
      </c>
      <c r="I87" s="12">
        <v>4.1373509232643053E-2</v>
      </c>
    </row>
    <row r="88" spans="1:36" x14ac:dyDescent="0.4">
      <c r="Y88" t="s">
        <v>180</v>
      </c>
      <c r="AF88" t="s">
        <v>204</v>
      </c>
      <c r="AG88" t="s">
        <v>186</v>
      </c>
      <c r="AH88" t="s">
        <v>145</v>
      </c>
      <c r="AI88" t="s">
        <v>183</v>
      </c>
      <c r="AJ88" t="s">
        <v>174</v>
      </c>
    </row>
    <row r="89" spans="1:36" x14ac:dyDescent="0.4">
      <c r="Y89" t="s">
        <v>147</v>
      </c>
      <c r="AI89">
        <f>Z106</f>
        <v>1.1043933656476717E-5</v>
      </c>
      <c r="AJ89">
        <f>Z105</f>
        <v>1.5204725701081463</v>
      </c>
    </row>
    <row r="90" spans="1:36" ht="19.5" thickBot="1" x14ac:dyDescent="0.45">
      <c r="AF90" t="s">
        <v>0</v>
      </c>
      <c r="AG90">
        <f>電力データ_0610以降_100N!$F$224</f>
        <v>1.8938225806451614</v>
      </c>
      <c r="AH90">
        <f>AI90*$AI$89+$AJ$89</f>
        <v>1.8542865088088116</v>
      </c>
      <c r="AI90" s="3">
        <f>TEG_Syncronous_Pipeline_回路規模!$C$2</f>
        <v>30226</v>
      </c>
    </row>
    <row r="91" spans="1:36" x14ac:dyDescent="0.4">
      <c r="Y91" s="14" t="s">
        <v>148</v>
      </c>
      <c r="Z91" s="14"/>
      <c r="AF91" t="s">
        <v>1</v>
      </c>
      <c r="AG91">
        <f>電力データ_0610以降_100N!$F$225</f>
        <v>1.8137096774193544</v>
      </c>
      <c r="AH91">
        <f t="shared" ref="AH91:AH96" si="5">AI91*$AI$89+$AJ$89</f>
        <v>1.8125956592556118</v>
      </c>
      <c r="AI91" s="3">
        <f>TEG_Syncronous_Pipeline_回路規模!$C$3</f>
        <v>26451</v>
      </c>
    </row>
    <row r="92" spans="1:36" x14ac:dyDescent="0.4">
      <c r="Y92" s="11" t="s">
        <v>149</v>
      </c>
      <c r="Z92" s="11">
        <v>0.97883188930121712</v>
      </c>
      <c r="AF92" t="s">
        <v>2</v>
      </c>
      <c r="AG92">
        <f>電力データ_0610以降_100N!$F$226</f>
        <v>1.7232741935483864</v>
      </c>
      <c r="AH92">
        <f t="shared" si="5"/>
        <v>1.7654711943434258</v>
      </c>
      <c r="AI92" s="3">
        <f>TEG_Syncronous_Pipeline_回路規模!$C$4</f>
        <v>22184</v>
      </c>
    </row>
    <row r="93" spans="1:36" x14ac:dyDescent="0.4">
      <c r="Y93" s="11" t="s">
        <v>150</v>
      </c>
      <c r="Z93" s="11">
        <v>0.95811186751299027</v>
      </c>
      <c r="AF93" t="s">
        <v>3</v>
      </c>
      <c r="AG93">
        <f>電力データ_0610以降_100N!$F$227</f>
        <v>1.6362419354838709</v>
      </c>
      <c r="AH93">
        <f t="shared" si="5"/>
        <v>1.6592506404354328</v>
      </c>
      <c r="AI93" s="3">
        <f>TEG_Syncronous_Pipeline_回路規模!$C$5</f>
        <v>12566</v>
      </c>
    </row>
    <row r="94" spans="1:36" x14ac:dyDescent="0.4">
      <c r="Y94" s="11" t="s">
        <v>151</v>
      </c>
      <c r="Z94" s="11">
        <v>0.94973424101558845</v>
      </c>
      <c r="AF94" t="s">
        <v>4</v>
      </c>
      <c r="AG94">
        <f>電力データ_0610以降_100N!$F$228</f>
        <v>1.5922096774193537</v>
      </c>
      <c r="AH94">
        <f t="shared" si="5"/>
        <v>1.5915071513866046</v>
      </c>
      <c r="AI94" s="3">
        <f>TEG_Syncronous_Pipeline_回路規模!$C$6</f>
        <v>6432</v>
      </c>
    </row>
    <row r="95" spans="1:36" x14ac:dyDescent="0.4">
      <c r="Y95" s="11" t="s">
        <v>152</v>
      </c>
      <c r="Z95" s="11">
        <v>3.0142306778910433E-2</v>
      </c>
      <c r="AF95" t="s">
        <v>5</v>
      </c>
      <c r="AG95">
        <f>電力データ_0610以降_100N!$F$229</f>
        <v>1.5545</v>
      </c>
      <c r="AH95">
        <f t="shared" si="5"/>
        <v>1.5564205741599779</v>
      </c>
      <c r="AI95" s="3">
        <f>TEG_Syncronous_Pipeline_回路規模!$C$7</f>
        <v>3255</v>
      </c>
    </row>
    <row r="96" spans="1:36" ht="19.5" thickBot="1" x14ac:dyDescent="0.45">
      <c r="Y96" s="12" t="s">
        <v>153</v>
      </c>
      <c r="Z96" s="12">
        <v>7</v>
      </c>
      <c r="AF96" t="s">
        <v>135</v>
      </c>
      <c r="AG96">
        <f>電力データ_0610以降_100N!$I$65</f>
        <v>1.5473064516129043</v>
      </c>
      <c r="AH96">
        <f t="shared" si="5"/>
        <v>1.521532787739168</v>
      </c>
      <c r="AI96" s="3">
        <f>TEG_Syncronous_Pipeline_回路規模!$C$8</f>
        <v>96</v>
      </c>
    </row>
    <row r="98" spans="25:48" ht="19.5" thickBot="1" x14ac:dyDescent="0.45">
      <c r="Y98" t="s">
        <v>154</v>
      </c>
    </row>
    <row r="99" spans="25:48" x14ac:dyDescent="0.4">
      <c r="Y99" s="13"/>
      <c r="Z99" s="13" t="s">
        <v>159</v>
      </c>
      <c r="AA99" s="13" t="s">
        <v>160</v>
      </c>
      <c r="AB99" s="13" t="s">
        <v>161</v>
      </c>
      <c r="AC99" s="13" t="s">
        <v>162</v>
      </c>
      <c r="AD99" s="13" t="s">
        <v>163</v>
      </c>
    </row>
    <row r="100" spans="25:48" x14ac:dyDescent="0.4">
      <c r="Y100" s="11" t="s">
        <v>155</v>
      </c>
      <c r="Z100" s="11">
        <v>1</v>
      </c>
      <c r="AA100" s="11">
        <v>0.10390781121446672</v>
      </c>
      <c r="AB100" s="11">
        <v>0.10390781121446672</v>
      </c>
      <c r="AC100" s="11">
        <v>114.36555064971189</v>
      </c>
      <c r="AD100" s="11">
        <v>1.2379875837786661E-4</v>
      </c>
    </row>
    <row r="101" spans="25:48" x14ac:dyDescent="0.4">
      <c r="Y101" s="11" t="s">
        <v>156</v>
      </c>
      <c r="Z101" s="11">
        <v>5</v>
      </c>
      <c r="AA101" s="11">
        <v>4.5427932897697497E-3</v>
      </c>
      <c r="AB101" s="11">
        <v>9.0855865795394996E-4</v>
      </c>
      <c r="AC101" s="11"/>
      <c r="AD101" s="11"/>
    </row>
    <row r="102" spans="25:48" ht="19.5" thickBot="1" x14ac:dyDescent="0.45">
      <c r="Y102" s="12" t="s">
        <v>157</v>
      </c>
      <c r="Z102" s="12">
        <v>6</v>
      </c>
      <c r="AA102" s="12">
        <v>0.10845060450423648</v>
      </c>
      <c r="AB102" s="12"/>
      <c r="AC102" s="12"/>
      <c r="AD102" s="12"/>
    </row>
    <row r="103" spans="25:48" ht="19.5" thickBot="1" x14ac:dyDescent="0.45"/>
    <row r="104" spans="25:48" x14ac:dyDescent="0.4">
      <c r="Y104" s="13"/>
      <c r="Z104" s="13" t="s">
        <v>164</v>
      </c>
      <c r="AA104" s="13" t="s">
        <v>152</v>
      </c>
      <c r="AB104" s="13" t="s">
        <v>165</v>
      </c>
      <c r="AC104" s="13" t="s">
        <v>166</v>
      </c>
      <c r="AD104" s="13" t="s">
        <v>167</v>
      </c>
      <c r="AE104" s="13" t="s">
        <v>168</v>
      </c>
      <c r="AF104" s="13" t="s">
        <v>169</v>
      </c>
      <c r="AG104" s="13" t="s">
        <v>170</v>
      </c>
    </row>
    <row r="105" spans="25:48" x14ac:dyDescent="0.4">
      <c r="Y105" s="11" t="s">
        <v>158</v>
      </c>
      <c r="Z105" s="11">
        <v>1.5204725701081463</v>
      </c>
      <c r="AA105" s="11">
        <v>1.8781423234375521E-2</v>
      </c>
      <c r="AB105" s="11">
        <v>80.95619544557384</v>
      </c>
      <c r="AC105" s="11">
        <v>5.4493373039815947E-9</v>
      </c>
      <c r="AD105" s="11">
        <v>1.4721933846944628</v>
      </c>
      <c r="AE105" s="11">
        <v>1.5687517555218298</v>
      </c>
      <c r="AF105" s="11">
        <v>1.4721933846944628</v>
      </c>
      <c r="AG105" s="11">
        <v>1.5687517555218298</v>
      </c>
      <c r="AV105">
        <v>1</v>
      </c>
    </row>
    <row r="106" spans="25:48" ht="19.5" thickBot="1" x14ac:dyDescent="0.45">
      <c r="Y106" s="12" t="s">
        <v>171</v>
      </c>
      <c r="Z106" s="12">
        <v>1.1043933656476717E-5</v>
      </c>
      <c r="AA106" s="12">
        <v>1.0327047542497133E-6</v>
      </c>
      <c r="AB106" s="12">
        <v>10.69418302862411</v>
      </c>
      <c r="AC106" s="12">
        <v>1.2379875837786661E-4</v>
      </c>
      <c r="AD106" s="12">
        <v>8.3892815736271401E-6</v>
      </c>
      <c r="AE106" s="12">
        <v>1.3698585739326295E-5</v>
      </c>
      <c r="AF106" s="12">
        <v>8.3892815736271401E-6</v>
      </c>
      <c r="AG106" s="12">
        <v>1.3698585739326295E-5</v>
      </c>
    </row>
    <row r="109" spans="25:48" x14ac:dyDescent="0.4">
      <c r="Y109" t="s">
        <v>181</v>
      </c>
      <c r="AF109" t="s">
        <v>205</v>
      </c>
      <c r="AG109" t="s">
        <v>186</v>
      </c>
      <c r="AH109" t="s">
        <v>145</v>
      </c>
      <c r="AI109" t="s">
        <v>184</v>
      </c>
      <c r="AJ109" t="s">
        <v>185</v>
      </c>
      <c r="AK109" t="s">
        <v>174</v>
      </c>
    </row>
    <row r="110" spans="25:48" x14ac:dyDescent="0.4">
      <c r="Y110" t="s">
        <v>147</v>
      </c>
      <c r="AI110">
        <f>Z127</f>
        <v>1.214492956202843E-5</v>
      </c>
      <c r="AJ110">
        <f>Z128</f>
        <v>5.335896774193544E-3</v>
      </c>
      <c r="AK110">
        <f>Z126</f>
        <v>1.2473145314818059</v>
      </c>
    </row>
    <row r="111" spans="25:48" ht="19.5" thickBot="1" x14ac:dyDescent="0.45">
      <c r="AF111" t="s">
        <v>13</v>
      </c>
      <c r="AG111">
        <f>電力データ0610以降_300N!$F$177</f>
        <v>1.885</v>
      </c>
      <c r="AH111">
        <f>AI111*$AI$110+AJ111*$AJ$110+$AK$110</f>
        <v>1.9558920844625884</v>
      </c>
      <c r="AI111" s="7">
        <f>TEG_Syncronous_Pipeline_回路規模!$I$3</f>
        <v>30884</v>
      </c>
      <c r="AJ111">
        <v>62.5</v>
      </c>
    </row>
    <row r="112" spans="25:48" x14ac:dyDescent="0.4">
      <c r="Y112" s="14" t="s">
        <v>148</v>
      </c>
      <c r="Z112" s="14"/>
      <c r="AF112" t="s">
        <v>14</v>
      </c>
      <c r="AG112">
        <f>電力データ0610以降_300N!$F$178</f>
        <v>1.8492741935483872</v>
      </c>
      <c r="AH112">
        <f t="shared" ref="AH112:AH120" si="6">AI112*$AI$110+AJ112*$AJ$110+$AK$110</f>
        <v>1.8588783871211054</v>
      </c>
      <c r="AI112" s="7">
        <f>TEG_Syncronous_Pipeline_回路規模!$I$4</f>
        <v>22896</v>
      </c>
      <c r="AJ112">
        <v>62.5</v>
      </c>
    </row>
    <row r="113" spans="25:36" x14ac:dyDescent="0.4">
      <c r="Y113" s="11" t="s">
        <v>149</v>
      </c>
      <c r="Z113" s="11">
        <v>0.97143164416702599</v>
      </c>
      <c r="AF113" t="s">
        <v>62</v>
      </c>
      <c r="AG113">
        <f>電力データ0610以降_300N!$F$179</f>
        <v>1.7670483870967757</v>
      </c>
      <c r="AH113">
        <f t="shared" si="6"/>
        <v>1.7669655601956742</v>
      </c>
      <c r="AI113" s="7">
        <f>TEG_Syncronous_Pipeline_回路規模!$I$5</f>
        <v>15328</v>
      </c>
      <c r="AJ113">
        <v>62.5</v>
      </c>
    </row>
    <row r="114" spans="25:36" x14ac:dyDescent="0.4">
      <c r="Y114" s="11" t="s">
        <v>150</v>
      </c>
      <c r="Z114" s="11">
        <v>0.9436794392890514</v>
      </c>
      <c r="AF114" t="s">
        <v>63</v>
      </c>
      <c r="AG114">
        <f>電力データ0610以降_300N!$F$180</f>
        <v>1.7039193548387102</v>
      </c>
      <c r="AH114">
        <f t="shared" si="6"/>
        <v>1.6759028783395851</v>
      </c>
      <c r="AI114" s="8">
        <f>TEG_Syncronous_Pipeline_回路規模!$I$6</f>
        <v>7830</v>
      </c>
      <c r="AJ114">
        <v>62.5</v>
      </c>
    </row>
    <row r="115" spans="25:36" x14ac:dyDescent="0.4">
      <c r="Y115" s="11" t="s">
        <v>151</v>
      </c>
      <c r="Z115" s="11">
        <v>0.92758785051449466</v>
      </c>
      <c r="AF115" t="s">
        <v>138</v>
      </c>
      <c r="AG115">
        <f>電力データ0610以降_300N!$G$64</f>
        <v>1.6343709677419351</v>
      </c>
      <c r="AH115">
        <f t="shared" si="6"/>
        <v>1.5819739931068573</v>
      </c>
      <c r="AI115">
        <f>TEG_Syncronous_Pipeline_回路規模!$I$7</f>
        <v>96</v>
      </c>
      <c r="AJ115">
        <v>62.5</v>
      </c>
    </row>
    <row r="116" spans="25:36" x14ac:dyDescent="0.4">
      <c r="Y116" s="11" t="s">
        <v>152</v>
      </c>
      <c r="Z116" s="11">
        <v>6.2033652052800203E-2</v>
      </c>
      <c r="AF116" t="s">
        <v>13</v>
      </c>
      <c r="AG116">
        <f>電力データ0610以降_300N!$G$177</f>
        <v>2.3286935483870961</v>
      </c>
      <c r="AH116">
        <f t="shared" si="6"/>
        <v>2.2893856328496849</v>
      </c>
      <c r="AI116" s="7">
        <f>TEG_Syncronous_Pipeline_回路規模!$I$3</f>
        <v>30884</v>
      </c>
      <c r="AJ116">
        <v>125</v>
      </c>
    </row>
    <row r="117" spans="25:36" ht="19.5" thickBot="1" x14ac:dyDescent="0.45">
      <c r="Y117" s="12" t="s">
        <v>153</v>
      </c>
      <c r="Z117" s="12">
        <v>10</v>
      </c>
      <c r="AF117" t="s">
        <v>14</v>
      </c>
      <c r="AG117">
        <f>電力データ0610以降_300N!$G$178</f>
        <v>2.2266935483870971</v>
      </c>
      <c r="AH117">
        <f t="shared" si="6"/>
        <v>2.1923719355082021</v>
      </c>
      <c r="AI117" s="7">
        <f>TEG_Syncronous_Pipeline_回路規模!$I$4</f>
        <v>22896</v>
      </c>
      <c r="AJ117">
        <v>125</v>
      </c>
    </row>
    <row r="118" spans="25:36" x14ac:dyDescent="0.4">
      <c r="AF118" t="s">
        <v>62</v>
      </c>
      <c r="AG118">
        <f>電力データ0610以降_300N!$G$179</f>
        <v>2.0861935483870964</v>
      </c>
      <c r="AH118">
        <f t="shared" si="6"/>
        <v>2.1004591085827706</v>
      </c>
      <c r="AI118" s="7">
        <f>TEG_Syncronous_Pipeline_回路規模!$I$5</f>
        <v>15328</v>
      </c>
      <c r="AJ118">
        <v>125</v>
      </c>
    </row>
    <row r="119" spans="25:36" ht="19.5" thickBot="1" x14ac:dyDescent="0.45">
      <c r="Y119" t="s">
        <v>154</v>
      </c>
      <c r="AF119" t="s">
        <v>63</v>
      </c>
      <c r="AG119">
        <f>電力データ0610以降_300N!$G$180</f>
        <v>2.0621774193548377</v>
      </c>
      <c r="AH119">
        <f t="shared" si="6"/>
        <v>2.0093964267266813</v>
      </c>
      <c r="AI119" s="8">
        <f>TEG_Syncronous_Pipeline_回路規模!$I$6</f>
        <v>7830</v>
      </c>
      <c r="AJ119">
        <v>125</v>
      </c>
    </row>
    <row r="120" spans="25:36" x14ac:dyDescent="0.4">
      <c r="Y120" s="13"/>
      <c r="Z120" s="13" t="s">
        <v>159</v>
      </c>
      <c r="AA120" s="13" t="s">
        <v>160</v>
      </c>
      <c r="AB120" s="13" t="s">
        <v>161</v>
      </c>
      <c r="AC120" s="13" t="s">
        <v>162</v>
      </c>
      <c r="AD120" s="13" t="s">
        <v>163</v>
      </c>
      <c r="AF120" t="s">
        <v>138</v>
      </c>
      <c r="AG120">
        <f>電力データ0610以降_300N!$T$64</f>
        <v>1.8033225806451634</v>
      </c>
      <c r="AH120">
        <f t="shared" si="6"/>
        <v>1.9154675414939537</v>
      </c>
      <c r="AI120">
        <f>TEG_Syncronous_Pipeline_回路規模!$I$7</f>
        <v>96</v>
      </c>
      <c r="AJ120">
        <v>125</v>
      </c>
    </row>
    <row r="121" spans="25:36" x14ac:dyDescent="0.4">
      <c r="Y121" s="11" t="s">
        <v>155</v>
      </c>
      <c r="Z121" s="11">
        <v>2</v>
      </c>
      <c r="AA121" s="11">
        <v>0.45134669064973593</v>
      </c>
      <c r="AB121" s="11">
        <v>0.22567334532486796</v>
      </c>
      <c r="AC121" s="11">
        <v>58.644267667413466</v>
      </c>
      <c r="AD121" s="11">
        <v>4.2396928481751511E-5</v>
      </c>
    </row>
    <row r="122" spans="25:36" x14ac:dyDescent="0.4">
      <c r="Y122" s="11" t="s">
        <v>156</v>
      </c>
      <c r="Z122" s="11">
        <v>7</v>
      </c>
      <c r="AA122" s="11">
        <v>2.6937217909055181E-2</v>
      </c>
      <c r="AB122" s="11">
        <v>3.8481739870078828E-3</v>
      </c>
      <c r="AC122" s="11"/>
      <c r="AD122" s="11"/>
    </row>
    <row r="123" spans="25:36" ht="19.5" thickBot="1" x14ac:dyDescent="0.45">
      <c r="Y123" s="12" t="s">
        <v>157</v>
      </c>
      <c r="Z123" s="12">
        <v>9</v>
      </c>
      <c r="AA123" s="12">
        <v>0.4782839085587911</v>
      </c>
      <c r="AB123" s="12"/>
      <c r="AC123" s="12"/>
      <c r="AD123" s="12"/>
    </row>
    <row r="124" spans="25:36" ht="19.5" thickBot="1" x14ac:dyDescent="0.45"/>
    <row r="125" spans="25:36" x14ac:dyDescent="0.4">
      <c r="Y125" s="13"/>
      <c r="Z125" s="13" t="s">
        <v>164</v>
      </c>
      <c r="AA125" s="13" t="s">
        <v>152</v>
      </c>
      <c r="AB125" s="13" t="s">
        <v>165</v>
      </c>
      <c r="AC125" s="13" t="s">
        <v>166</v>
      </c>
      <c r="AD125" s="13" t="s">
        <v>167</v>
      </c>
      <c r="AE125" s="13" t="s">
        <v>168</v>
      </c>
      <c r="AF125" s="13" t="s">
        <v>169</v>
      </c>
      <c r="AG125" s="13" t="s">
        <v>170</v>
      </c>
    </row>
    <row r="126" spans="25:36" x14ac:dyDescent="0.4">
      <c r="Y126" s="11" t="s">
        <v>158</v>
      </c>
      <c r="Z126" s="11">
        <v>1.2473145314818059</v>
      </c>
      <c r="AA126" s="11">
        <v>6.8011860930422691E-2</v>
      </c>
      <c r="AB126" s="11">
        <v>18.33966185336158</v>
      </c>
      <c r="AC126" s="11">
        <v>3.5497580885951256E-7</v>
      </c>
      <c r="AD126" s="11">
        <v>1.0864920357297727</v>
      </c>
      <c r="AE126" s="11">
        <v>1.4081370272338392</v>
      </c>
      <c r="AF126" s="11">
        <v>1.0864920357297727</v>
      </c>
      <c r="AG126" s="11">
        <v>1.4081370272338392</v>
      </c>
    </row>
    <row r="127" spans="25:36" x14ac:dyDescent="0.4">
      <c r="Y127" s="11" t="s">
        <v>171</v>
      </c>
      <c r="Z127" s="11">
        <v>1.214492956202843E-5</v>
      </c>
      <c r="AA127" s="11">
        <v>1.8097591611346283E-6</v>
      </c>
      <c r="AB127" s="11">
        <v>6.7107987752437559</v>
      </c>
      <c r="AC127" s="11">
        <v>2.7469968252126492E-4</v>
      </c>
      <c r="AD127" s="11">
        <v>7.8655291600672724E-6</v>
      </c>
      <c r="AE127" s="11">
        <v>1.6424329963989587E-5</v>
      </c>
      <c r="AF127" s="11">
        <v>7.8655291600672724E-6</v>
      </c>
      <c r="AG127" s="11">
        <v>1.6424329963989587E-5</v>
      </c>
    </row>
    <row r="128" spans="25:36" ht="19.5" thickBot="1" x14ac:dyDescent="0.45">
      <c r="Y128" s="12" t="s">
        <v>172</v>
      </c>
      <c r="Z128" s="12">
        <v>5.335896774193544E-3</v>
      </c>
      <c r="AA128" s="12">
        <v>6.2773642260873094E-4</v>
      </c>
      <c r="AB128" s="12">
        <v>8.500218534426855</v>
      </c>
      <c r="AC128" s="12">
        <v>6.1759858991466664E-5</v>
      </c>
      <c r="AD128" s="12">
        <v>3.8515360056848415E-3</v>
      </c>
      <c r="AE128" s="12">
        <v>6.8202575427022466E-3</v>
      </c>
      <c r="AF128" s="12">
        <v>3.8515360056848415E-3</v>
      </c>
      <c r="AG128" s="12">
        <v>6.8202575427022466E-3</v>
      </c>
    </row>
    <row r="136" spans="25:26" x14ac:dyDescent="0.4">
      <c r="Y136" t="s">
        <v>280</v>
      </c>
    </row>
    <row r="138" spans="25:26" x14ac:dyDescent="0.4">
      <c r="Y138" t="s">
        <v>147</v>
      </c>
    </row>
    <row r="139" spans="25:26" ht="19.5" thickBot="1" x14ac:dyDescent="0.45"/>
    <row r="140" spans="25:26" x14ac:dyDescent="0.4">
      <c r="Y140" s="14" t="s">
        <v>148</v>
      </c>
      <c r="Z140" s="14"/>
    </row>
    <row r="141" spans="25:26" x14ac:dyDescent="0.4">
      <c r="Y141" s="11" t="s">
        <v>149</v>
      </c>
      <c r="Z141" s="11">
        <v>0.98983421081911704</v>
      </c>
    </row>
    <row r="142" spans="25:26" x14ac:dyDescent="0.4">
      <c r="Y142" s="11" t="s">
        <v>150</v>
      </c>
      <c r="Z142" s="11">
        <v>0.97977176490790419</v>
      </c>
    </row>
    <row r="143" spans="25:26" x14ac:dyDescent="0.4">
      <c r="Y143" s="11" t="s">
        <v>151</v>
      </c>
      <c r="Z143" s="11">
        <v>0.9747147061348802</v>
      </c>
    </row>
    <row r="144" spans="25:26" x14ac:dyDescent="0.4">
      <c r="Y144" s="11" t="s">
        <v>152</v>
      </c>
      <c r="Z144" s="11">
        <v>1.8744887954658538E-2</v>
      </c>
    </row>
    <row r="145" spans="25:33" ht="19.5" thickBot="1" x14ac:dyDescent="0.45">
      <c r="Y145" s="12" t="s">
        <v>153</v>
      </c>
      <c r="Z145" s="12">
        <v>11</v>
      </c>
    </row>
    <row r="147" spans="25:33" ht="19.5" thickBot="1" x14ac:dyDescent="0.45">
      <c r="Y147" t="s">
        <v>154</v>
      </c>
    </row>
    <row r="148" spans="25:33" x14ac:dyDescent="0.4">
      <c r="Y148" s="13"/>
      <c r="Z148" s="13" t="s">
        <v>159</v>
      </c>
      <c r="AA148" s="13" t="s">
        <v>160</v>
      </c>
      <c r="AB148" s="13" t="s">
        <v>161</v>
      </c>
      <c r="AC148" s="13" t="s">
        <v>162</v>
      </c>
      <c r="AD148" s="13" t="s">
        <v>163</v>
      </c>
    </row>
    <row r="149" spans="25:33" x14ac:dyDescent="0.4">
      <c r="Y149" s="11" t="s">
        <v>155</v>
      </c>
      <c r="Z149" s="11">
        <v>2</v>
      </c>
      <c r="AA149" s="11">
        <v>0.13615155695954745</v>
      </c>
      <c r="AB149" s="11">
        <v>6.8075778479773724E-2</v>
      </c>
      <c r="AC149" s="11">
        <v>193.743400834955</v>
      </c>
      <c r="AD149" s="11">
        <v>1.674294958022297E-7</v>
      </c>
    </row>
    <row r="150" spans="25:33" x14ac:dyDescent="0.4">
      <c r="Y150" s="11" t="s">
        <v>156</v>
      </c>
      <c r="Z150" s="11">
        <v>8</v>
      </c>
      <c r="AA150" s="11">
        <v>2.8109665954616217E-3</v>
      </c>
      <c r="AB150" s="11">
        <v>3.5137082443270271E-4</v>
      </c>
      <c r="AC150" s="11"/>
      <c r="AD150" s="11"/>
    </row>
    <row r="151" spans="25:33" ht="19.5" thickBot="1" x14ac:dyDescent="0.45">
      <c r="Y151" s="12" t="s">
        <v>157</v>
      </c>
      <c r="Z151" s="12">
        <v>10</v>
      </c>
      <c r="AA151" s="12">
        <v>0.13896252355500907</v>
      </c>
      <c r="AB151" s="12"/>
      <c r="AC151" s="12"/>
      <c r="AD151" s="12"/>
    </row>
    <row r="152" spans="25:33" ht="19.5" thickBot="1" x14ac:dyDescent="0.45"/>
    <row r="153" spans="25:33" x14ac:dyDescent="0.4">
      <c r="Y153" s="13"/>
      <c r="Z153" s="13" t="s">
        <v>164</v>
      </c>
      <c r="AA153" s="13" t="s">
        <v>152</v>
      </c>
      <c r="AB153" s="13" t="s">
        <v>165</v>
      </c>
      <c r="AC153" s="13" t="s">
        <v>166</v>
      </c>
      <c r="AD153" s="13" t="s">
        <v>167</v>
      </c>
      <c r="AE153" s="13" t="s">
        <v>168</v>
      </c>
      <c r="AF153" s="13" t="s">
        <v>169</v>
      </c>
      <c r="AG153" s="13" t="s">
        <v>170</v>
      </c>
    </row>
    <row r="154" spans="25:33" x14ac:dyDescent="0.4">
      <c r="Y154" s="11" t="s">
        <v>158</v>
      </c>
      <c r="Z154" s="11">
        <v>1.4898362650110109</v>
      </c>
      <c r="AA154" s="11">
        <v>1.3596665508165051E-2</v>
      </c>
      <c r="AB154" s="11">
        <v>109.57364981262035</v>
      </c>
      <c r="AC154" s="11">
        <v>5.3768458791407059E-14</v>
      </c>
      <c r="AD154" s="11">
        <v>1.4584822981241943</v>
      </c>
      <c r="AE154" s="11">
        <v>1.5211902318978274</v>
      </c>
      <c r="AF154" s="11">
        <v>1.4584822981241943</v>
      </c>
      <c r="AG154" s="11">
        <v>1.5211902318978274</v>
      </c>
    </row>
    <row r="155" spans="25:33" x14ac:dyDescent="0.4">
      <c r="Y155" s="11">
        <v>3351</v>
      </c>
      <c r="Z155" s="11">
        <v>1.4130918466787211E-5</v>
      </c>
      <c r="AA155" s="11">
        <v>1.7904476578049786E-6</v>
      </c>
      <c r="AB155" s="11">
        <v>7.892394064237088</v>
      </c>
      <c r="AC155" s="11">
        <v>4.8133120826372583E-5</v>
      </c>
      <c r="AD155" s="11">
        <v>1.0002138764022313E-5</v>
      </c>
      <c r="AE155" s="11">
        <v>1.8259698169552108E-5</v>
      </c>
      <c r="AF155" s="11">
        <v>1.0002138764022313E-5</v>
      </c>
      <c r="AG155" s="11">
        <v>1.8259698169552108E-5</v>
      </c>
    </row>
    <row r="156" spans="25:33" ht="19.5" thickBot="1" x14ac:dyDescent="0.45">
      <c r="Y156" s="12">
        <v>30226</v>
      </c>
      <c r="Z156" s="12">
        <v>9.0739898952521356E-6</v>
      </c>
      <c r="AA156" s="12">
        <v>5.5291455913735646E-7</v>
      </c>
      <c r="AB156" s="12">
        <v>16.411197255158463</v>
      </c>
      <c r="AC156" s="12">
        <v>1.915669690510975E-7</v>
      </c>
      <c r="AD156" s="12">
        <v>7.798966635466802E-6</v>
      </c>
      <c r="AE156" s="12">
        <v>1.0349013155037469E-5</v>
      </c>
      <c r="AF156" s="12">
        <v>7.798966635466802E-6</v>
      </c>
      <c r="AG156" s="12">
        <v>1.0349013155037469E-5</v>
      </c>
    </row>
    <row r="159" spans="25:33" x14ac:dyDescent="0.4">
      <c r="Y159" t="s">
        <v>147</v>
      </c>
    </row>
    <row r="160" spans="25:33" ht="19.5" thickBot="1" x14ac:dyDescent="0.45"/>
    <row r="161" spans="25:33" x14ac:dyDescent="0.4">
      <c r="Y161" s="14" t="s">
        <v>148</v>
      </c>
      <c r="Z161" s="14"/>
    </row>
    <row r="162" spans="25:33" x14ac:dyDescent="0.4">
      <c r="Y162" s="11" t="s">
        <v>149</v>
      </c>
      <c r="Z162" s="11">
        <v>0.99369186477030036</v>
      </c>
    </row>
    <row r="163" spans="25:33" x14ac:dyDescent="0.4">
      <c r="Y163" s="11" t="s">
        <v>150</v>
      </c>
      <c r="Z163" s="11">
        <v>0.98742352211067685</v>
      </c>
    </row>
    <row r="164" spans="25:33" x14ac:dyDescent="0.4">
      <c r="Y164" s="11" t="s">
        <v>151</v>
      </c>
      <c r="Z164" s="11">
        <v>0.98323136281423584</v>
      </c>
    </row>
    <row r="165" spans="25:33" x14ac:dyDescent="0.4">
      <c r="Y165" s="11" t="s">
        <v>152</v>
      </c>
      <c r="Z165" s="11">
        <v>1.3309921776598548E-2</v>
      </c>
    </row>
    <row r="166" spans="25:33" ht="19.5" thickBot="1" x14ac:dyDescent="0.45">
      <c r="Y166" s="12" t="s">
        <v>153</v>
      </c>
      <c r="Z166" s="12">
        <v>5</v>
      </c>
    </row>
    <row r="168" spans="25:33" ht="19.5" thickBot="1" x14ac:dyDescent="0.45">
      <c r="Y168" t="s">
        <v>154</v>
      </c>
    </row>
    <row r="169" spans="25:33" x14ac:dyDescent="0.4">
      <c r="Y169" s="13"/>
      <c r="Z169" s="13" t="s">
        <v>159</v>
      </c>
      <c r="AA169" s="13" t="s">
        <v>160</v>
      </c>
      <c r="AB169" s="13" t="s">
        <v>161</v>
      </c>
      <c r="AC169" s="13" t="s">
        <v>162</v>
      </c>
      <c r="AD169" s="13" t="s">
        <v>163</v>
      </c>
    </row>
    <row r="170" spans="25:33" x14ac:dyDescent="0.4">
      <c r="Y170" s="11" t="s">
        <v>155</v>
      </c>
      <c r="Z170" s="11">
        <v>1</v>
      </c>
      <c r="AA170" s="11">
        <v>4.1726955428692335E-2</v>
      </c>
      <c r="AB170" s="11">
        <v>4.1726955428692335E-2</v>
      </c>
      <c r="AC170" s="11">
        <v>235.54055375447072</v>
      </c>
      <c r="AD170" s="11">
        <v>6.0086095675962654E-4</v>
      </c>
    </row>
    <row r="171" spans="25:33" x14ac:dyDescent="0.4">
      <c r="Y171" s="11" t="s">
        <v>156</v>
      </c>
      <c r="Z171" s="11">
        <v>3</v>
      </c>
      <c r="AA171" s="11">
        <v>5.3146205309751674E-4</v>
      </c>
      <c r="AB171" s="11">
        <v>1.7715401769917224E-4</v>
      </c>
      <c r="AC171" s="11"/>
      <c r="AD171" s="11"/>
    </row>
    <row r="172" spans="25:33" ht="19.5" thickBot="1" x14ac:dyDescent="0.45">
      <c r="Y172" s="12" t="s">
        <v>157</v>
      </c>
      <c r="Z172" s="12">
        <v>4</v>
      </c>
      <c r="AA172" s="12">
        <v>4.2258417481789851E-2</v>
      </c>
      <c r="AB172" s="12"/>
      <c r="AC172" s="12"/>
      <c r="AD172" s="12"/>
    </row>
    <row r="173" spans="25:33" ht="19.5" thickBot="1" x14ac:dyDescent="0.45"/>
    <row r="174" spans="25:33" x14ac:dyDescent="0.4">
      <c r="Y174" s="13"/>
      <c r="Z174" s="13" t="s">
        <v>164</v>
      </c>
      <c r="AA174" s="13" t="s">
        <v>152</v>
      </c>
      <c r="AB174" s="13" t="s">
        <v>165</v>
      </c>
      <c r="AC174" s="13" t="s">
        <v>166</v>
      </c>
      <c r="AD174" s="13" t="s">
        <v>167</v>
      </c>
      <c r="AE174" s="13" t="s">
        <v>168</v>
      </c>
      <c r="AF174" s="13" t="s">
        <v>169</v>
      </c>
      <c r="AG174" s="13" t="s">
        <v>170</v>
      </c>
    </row>
    <row r="175" spans="25:33" x14ac:dyDescent="0.4">
      <c r="Y175" s="11" t="s">
        <v>158</v>
      </c>
      <c r="Z175" s="11">
        <v>1.638076386224653</v>
      </c>
      <c r="AA175" s="11">
        <v>1.0344611117330569E-2</v>
      </c>
      <c r="AB175" s="11">
        <v>158.35069754148083</v>
      </c>
      <c r="AC175" s="11">
        <v>5.5532657322628532E-7</v>
      </c>
      <c r="AD175" s="11">
        <v>1.6051552167947076</v>
      </c>
      <c r="AE175" s="11">
        <v>1.6709975556545984</v>
      </c>
      <c r="AF175" s="11">
        <v>1.6051552167947076</v>
      </c>
      <c r="AG175" s="11">
        <v>1.6709975556545984</v>
      </c>
    </row>
    <row r="176" spans="25:33" ht="19.5" thickBot="1" x14ac:dyDescent="0.45">
      <c r="Y176" s="12" t="s">
        <v>171</v>
      </c>
      <c r="Z176" s="12">
        <v>8.4278496780972673E-6</v>
      </c>
      <c r="AA176" s="12">
        <v>5.4914108177441185E-7</v>
      </c>
      <c r="AB176" s="12">
        <v>15.347330509064779</v>
      </c>
      <c r="AC176" s="12">
        <v>6.0086095675962751E-4</v>
      </c>
      <c r="AD176" s="12">
        <v>6.6802376713247914E-6</v>
      </c>
      <c r="AE176" s="12">
        <v>1.0175461684869744E-5</v>
      </c>
      <c r="AF176" s="12">
        <v>6.6802376713247914E-6</v>
      </c>
      <c r="AG176" s="12">
        <v>1.0175461684869744E-5</v>
      </c>
    </row>
  </sheetData>
  <sortState ref="AN47:AS55">
    <sortCondition ref="AQ47:AQ55"/>
  </sortState>
  <phoneticPr fontId="1"/>
  <pageMargins left="0.7" right="0.7" top="0.75" bottom="0.75" header="0.3" footer="0.3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214"/>
  <sheetViews>
    <sheetView topLeftCell="P154" zoomScale="85" zoomScaleNormal="85" workbookViewId="0">
      <selection activeCell="V15" sqref="V15:Z42"/>
    </sheetView>
  </sheetViews>
  <sheetFormatPr defaultRowHeight="18.75" x14ac:dyDescent="0.4"/>
  <sheetData>
    <row r="1" spans="1:18" x14ac:dyDescent="0.4">
      <c r="A1" t="s">
        <v>209</v>
      </c>
    </row>
    <row r="3" spans="1:18" x14ac:dyDescent="0.4">
      <c r="A3" t="s">
        <v>210</v>
      </c>
    </row>
    <row r="4" spans="1:18" x14ac:dyDescent="0.4">
      <c r="A4" t="s">
        <v>213</v>
      </c>
      <c r="B4" t="s">
        <v>211</v>
      </c>
      <c r="C4" t="s">
        <v>212</v>
      </c>
      <c r="D4" t="s">
        <v>214</v>
      </c>
      <c r="E4" t="s">
        <v>217</v>
      </c>
      <c r="F4" t="s">
        <v>218</v>
      </c>
      <c r="G4" t="s">
        <v>219</v>
      </c>
      <c r="H4" t="s">
        <v>229</v>
      </c>
      <c r="I4" t="s">
        <v>220</v>
      </c>
      <c r="J4" t="s">
        <v>221</v>
      </c>
      <c r="K4" t="s">
        <v>222</v>
      </c>
      <c r="L4" t="s">
        <v>223</v>
      </c>
    </row>
    <row r="5" spans="1:18" x14ac:dyDescent="0.4">
      <c r="B5" t="s">
        <v>215</v>
      </c>
      <c r="C5" t="s">
        <v>212</v>
      </c>
      <c r="D5" t="s">
        <v>214</v>
      </c>
    </row>
    <row r="6" spans="1:18" x14ac:dyDescent="0.4">
      <c r="B6" t="s">
        <v>211</v>
      </c>
      <c r="C6" t="s">
        <v>216</v>
      </c>
      <c r="D6" t="s">
        <v>214</v>
      </c>
    </row>
    <row r="7" spans="1:18" x14ac:dyDescent="0.4">
      <c r="B7" t="s">
        <v>215</v>
      </c>
      <c r="C7" t="s">
        <v>216</v>
      </c>
      <c r="D7" t="s">
        <v>214</v>
      </c>
    </row>
    <row r="12" spans="1:18" x14ac:dyDescent="0.4">
      <c r="A12" t="s">
        <v>224</v>
      </c>
    </row>
    <row r="13" spans="1:18" x14ac:dyDescent="0.4">
      <c r="A13" t="s">
        <v>225</v>
      </c>
      <c r="P13" t="s">
        <v>132</v>
      </c>
      <c r="Q13" t="s">
        <v>235</v>
      </c>
      <c r="R13" t="s">
        <v>236</v>
      </c>
    </row>
    <row r="14" spans="1:18" x14ac:dyDescent="0.4">
      <c r="A14" t="s">
        <v>228</v>
      </c>
      <c r="E14" t="s">
        <v>217</v>
      </c>
      <c r="F14" t="s">
        <v>218</v>
      </c>
      <c r="G14" t="s">
        <v>219</v>
      </c>
      <c r="H14" t="s">
        <v>229</v>
      </c>
      <c r="I14" t="s">
        <v>220</v>
      </c>
      <c r="J14" t="s">
        <v>221</v>
      </c>
      <c r="K14" t="s">
        <v>222</v>
      </c>
      <c r="M14" t="s">
        <v>237</v>
      </c>
      <c r="N14" t="s">
        <v>212</v>
      </c>
      <c r="O14" t="s">
        <v>217</v>
      </c>
      <c r="P14" s="25">
        <v>31235</v>
      </c>
      <c r="Q14" s="25">
        <v>3334</v>
      </c>
      <c r="R14" s="25">
        <v>8380</v>
      </c>
    </row>
    <row r="15" spans="1:18" x14ac:dyDescent="0.4">
      <c r="A15" t="s">
        <v>213</v>
      </c>
      <c r="B15" t="s">
        <v>211</v>
      </c>
      <c r="C15" t="s">
        <v>212</v>
      </c>
      <c r="D15" t="s">
        <v>233</v>
      </c>
      <c r="E15">
        <v>271</v>
      </c>
      <c r="F15" s="15" t="s">
        <v>232</v>
      </c>
      <c r="G15" s="15">
        <v>270</v>
      </c>
      <c r="H15" s="15">
        <v>270</v>
      </c>
      <c r="I15" s="15">
        <v>270</v>
      </c>
      <c r="J15" s="15">
        <v>270</v>
      </c>
      <c r="K15" s="15" t="s">
        <v>276</v>
      </c>
      <c r="L15" s="15"/>
      <c r="O15" t="s">
        <v>218</v>
      </c>
      <c r="P15" s="25">
        <v>28508</v>
      </c>
      <c r="Q15" s="25">
        <v>3334</v>
      </c>
      <c r="R15" s="25">
        <v>7956</v>
      </c>
    </row>
    <row r="16" spans="1:18" x14ac:dyDescent="0.4">
      <c r="D16" t="s">
        <v>234</v>
      </c>
      <c r="E16">
        <f>HEX2DEC(E15)</f>
        <v>625</v>
      </c>
      <c r="F16">
        <f>HEX2DEC(F15)</f>
        <v>621</v>
      </c>
      <c r="G16">
        <f t="shared" ref="G16:J16" si="0">HEX2DEC(G15)</f>
        <v>624</v>
      </c>
      <c r="H16">
        <f t="shared" si="0"/>
        <v>624</v>
      </c>
      <c r="I16">
        <f t="shared" si="0"/>
        <v>624</v>
      </c>
      <c r="J16">
        <f t="shared" si="0"/>
        <v>624</v>
      </c>
      <c r="K16">
        <f>HEX2DEC(K15)</f>
        <v>622</v>
      </c>
      <c r="O16" t="s">
        <v>219</v>
      </c>
      <c r="P16" s="25">
        <v>25505</v>
      </c>
      <c r="Q16" s="25">
        <v>3334</v>
      </c>
      <c r="R16" s="25">
        <v>7770</v>
      </c>
    </row>
    <row r="17" spans="1:18" x14ac:dyDescent="0.4">
      <c r="D17" t="s">
        <v>298</v>
      </c>
      <c r="E17">
        <f>E16*8</f>
        <v>5000</v>
      </c>
      <c r="F17" s="16">
        <f t="shared" ref="F17:K17" si="1">F16*8</f>
        <v>4968</v>
      </c>
      <c r="G17" s="16">
        <f t="shared" si="1"/>
        <v>4992</v>
      </c>
      <c r="H17" s="16">
        <f t="shared" si="1"/>
        <v>4992</v>
      </c>
      <c r="I17" s="16">
        <f t="shared" si="1"/>
        <v>4992</v>
      </c>
      <c r="J17" s="16">
        <f t="shared" si="1"/>
        <v>4992</v>
      </c>
      <c r="K17" s="16">
        <f t="shared" si="1"/>
        <v>4976</v>
      </c>
      <c r="O17" t="s">
        <v>229</v>
      </c>
      <c r="P17" s="25">
        <v>21573</v>
      </c>
      <c r="Q17" s="25">
        <v>3334</v>
      </c>
      <c r="R17" s="25">
        <v>7365</v>
      </c>
    </row>
    <row r="18" spans="1:18" x14ac:dyDescent="0.4">
      <c r="D18" s="21" t="s">
        <v>238</v>
      </c>
      <c r="E18" s="23">
        <v>925</v>
      </c>
      <c r="F18">
        <v>924</v>
      </c>
      <c r="G18">
        <v>925</v>
      </c>
      <c r="H18">
        <v>931</v>
      </c>
      <c r="I18">
        <v>931</v>
      </c>
      <c r="J18">
        <v>931</v>
      </c>
      <c r="K18">
        <v>873</v>
      </c>
      <c r="O18" t="s">
        <v>220</v>
      </c>
      <c r="P18" s="25">
        <v>17266</v>
      </c>
      <c r="Q18" s="25">
        <v>3334</v>
      </c>
      <c r="R18" s="25">
        <v>6807</v>
      </c>
    </row>
    <row r="19" spans="1:18" x14ac:dyDescent="0.4">
      <c r="D19" s="22" t="s">
        <v>298</v>
      </c>
      <c r="E19" s="22">
        <f>E18*8</f>
        <v>7400</v>
      </c>
      <c r="F19" s="16">
        <f t="shared" ref="F19:K19" si="2">F18*8</f>
        <v>7392</v>
      </c>
      <c r="G19" s="16">
        <f t="shared" si="2"/>
        <v>7400</v>
      </c>
      <c r="H19" s="16">
        <f t="shared" si="2"/>
        <v>7448</v>
      </c>
      <c r="I19" s="16">
        <f t="shared" si="2"/>
        <v>7448</v>
      </c>
      <c r="J19" s="16">
        <f t="shared" si="2"/>
        <v>7448</v>
      </c>
      <c r="K19" s="16">
        <f t="shared" si="2"/>
        <v>6984</v>
      </c>
      <c r="O19" t="s">
        <v>221</v>
      </c>
      <c r="P19" s="25">
        <v>12311</v>
      </c>
      <c r="Q19" s="25">
        <v>3334</v>
      </c>
      <c r="R19" s="25">
        <v>6174</v>
      </c>
    </row>
    <row r="20" spans="1:18" x14ac:dyDescent="0.4">
      <c r="D20" t="s">
        <v>230</v>
      </c>
      <c r="E20" t="s">
        <v>231</v>
      </c>
      <c r="F20" t="s">
        <v>231</v>
      </c>
      <c r="G20" t="s">
        <v>231</v>
      </c>
      <c r="H20" t="s">
        <v>239</v>
      </c>
      <c r="I20" t="s">
        <v>274</v>
      </c>
      <c r="J20" t="s">
        <v>274</v>
      </c>
      <c r="K20" t="s">
        <v>275</v>
      </c>
      <c r="O20" t="s">
        <v>222</v>
      </c>
      <c r="P20" s="25">
        <v>6092</v>
      </c>
      <c r="Q20" s="25">
        <v>3334</v>
      </c>
      <c r="R20" s="25">
        <v>4777</v>
      </c>
    </row>
    <row r="21" spans="1:18" x14ac:dyDescent="0.4">
      <c r="C21" t="s">
        <v>300</v>
      </c>
      <c r="I21" t="s">
        <v>299</v>
      </c>
      <c r="J21">
        <f>50*100*8/7</f>
        <v>5714.2857142857147</v>
      </c>
      <c r="M21" t="s">
        <v>297</v>
      </c>
      <c r="N21" t="s">
        <v>212</v>
      </c>
      <c r="O21" t="s">
        <v>217</v>
      </c>
      <c r="P21">
        <v>27183</v>
      </c>
      <c r="Q21">
        <v>3334</v>
      </c>
      <c r="R21">
        <v>7150</v>
      </c>
    </row>
    <row r="22" spans="1:18" x14ac:dyDescent="0.4">
      <c r="C22" t="s">
        <v>303</v>
      </c>
      <c r="E22" s="16" t="s">
        <v>217</v>
      </c>
      <c r="F22" t="s">
        <v>316</v>
      </c>
      <c r="G22" t="s">
        <v>317</v>
      </c>
      <c r="H22" t="s">
        <v>318</v>
      </c>
      <c r="I22" t="s">
        <v>319</v>
      </c>
      <c r="J22" t="s">
        <v>320</v>
      </c>
      <c r="K22" t="s">
        <v>321</v>
      </c>
      <c r="O22" t="s">
        <v>218</v>
      </c>
      <c r="P22" s="26">
        <v>25985</v>
      </c>
      <c r="Q22" s="26">
        <v>3334</v>
      </c>
      <c r="R22" s="26">
        <v>7125</v>
      </c>
    </row>
    <row r="23" spans="1:18" x14ac:dyDescent="0.4">
      <c r="D23" s="16" t="s">
        <v>233</v>
      </c>
      <c r="E23" s="15" t="s">
        <v>306</v>
      </c>
      <c r="F23" s="15" t="s">
        <v>307</v>
      </c>
      <c r="G23" s="15" t="s">
        <v>312</v>
      </c>
      <c r="H23" s="15" t="s">
        <v>322</v>
      </c>
      <c r="I23" s="15" t="s">
        <v>322</v>
      </c>
      <c r="J23" s="15" t="s">
        <v>323</v>
      </c>
      <c r="K23" s="15" t="s">
        <v>323</v>
      </c>
      <c r="O23" t="s">
        <v>219</v>
      </c>
      <c r="P23" s="26">
        <v>22190</v>
      </c>
      <c r="Q23" s="26">
        <v>3334</v>
      </c>
      <c r="R23" s="26">
        <v>7044</v>
      </c>
    </row>
    <row r="24" spans="1:18" x14ac:dyDescent="0.4">
      <c r="D24" s="16" t="s">
        <v>234</v>
      </c>
      <c r="E24">
        <f t="shared" ref="E24:K24" si="3">HEX2DEC(E23)</f>
        <v>623</v>
      </c>
      <c r="F24" s="16">
        <v>624</v>
      </c>
      <c r="G24" s="16">
        <f t="shared" si="3"/>
        <v>620</v>
      </c>
      <c r="H24" s="16">
        <f t="shared" si="3"/>
        <v>621</v>
      </c>
      <c r="I24" s="16">
        <f t="shared" si="3"/>
        <v>621</v>
      </c>
      <c r="J24" s="16">
        <f t="shared" si="3"/>
        <v>621</v>
      </c>
      <c r="K24" s="16">
        <f t="shared" si="3"/>
        <v>621</v>
      </c>
      <c r="O24" t="s">
        <v>229</v>
      </c>
      <c r="P24" s="26">
        <v>19771</v>
      </c>
      <c r="Q24" s="26">
        <v>3334</v>
      </c>
      <c r="R24" s="26">
        <v>6704</v>
      </c>
    </row>
    <row r="25" spans="1:18" x14ac:dyDescent="0.4">
      <c r="D25" s="16" t="s">
        <v>298</v>
      </c>
      <c r="E25" s="16">
        <f t="shared" ref="E25:K25" si="4">E24*8</f>
        <v>4984</v>
      </c>
      <c r="F25" s="16">
        <f t="shared" si="4"/>
        <v>4992</v>
      </c>
      <c r="G25" s="16">
        <f t="shared" si="4"/>
        <v>4960</v>
      </c>
      <c r="H25" s="16">
        <f t="shared" si="4"/>
        <v>4968</v>
      </c>
      <c r="I25" s="16">
        <f t="shared" si="4"/>
        <v>4968</v>
      </c>
      <c r="J25" s="16">
        <f t="shared" si="4"/>
        <v>4968</v>
      </c>
      <c r="K25" s="16">
        <f t="shared" si="4"/>
        <v>4968</v>
      </c>
      <c r="O25" t="s">
        <v>220</v>
      </c>
      <c r="P25" s="26">
        <v>15224</v>
      </c>
      <c r="Q25" s="26">
        <v>3334</v>
      </c>
      <c r="R25" s="26">
        <v>5983</v>
      </c>
    </row>
    <row r="26" spans="1:18" x14ac:dyDescent="0.4">
      <c r="D26" s="21" t="s">
        <v>238</v>
      </c>
      <c r="E26" s="22">
        <v>624</v>
      </c>
      <c r="F26" s="24">
        <v>624</v>
      </c>
      <c r="G26" s="24">
        <v>624</v>
      </c>
      <c r="H26" s="24">
        <v>621</v>
      </c>
      <c r="I26" s="15">
        <v>621</v>
      </c>
      <c r="J26" s="15">
        <v>621</v>
      </c>
      <c r="K26" s="24">
        <v>624</v>
      </c>
      <c r="O26" t="s">
        <v>221</v>
      </c>
      <c r="P26" s="26">
        <v>9003</v>
      </c>
      <c r="Q26" s="26">
        <v>3334</v>
      </c>
      <c r="R26" s="26">
        <v>4741</v>
      </c>
    </row>
    <row r="27" spans="1:18" x14ac:dyDescent="0.4">
      <c r="D27" s="22" t="s">
        <v>298</v>
      </c>
      <c r="E27" s="22">
        <f>E26*8</f>
        <v>4992</v>
      </c>
      <c r="F27" s="22">
        <f t="shared" ref="F27:K27" si="5">F26*8</f>
        <v>4992</v>
      </c>
      <c r="G27" s="22">
        <f t="shared" si="5"/>
        <v>4992</v>
      </c>
      <c r="H27" s="22">
        <f t="shared" si="5"/>
        <v>4968</v>
      </c>
      <c r="I27" s="22">
        <f t="shared" si="5"/>
        <v>4968</v>
      </c>
      <c r="J27" s="22">
        <f t="shared" si="5"/>
        <v>4968</v>
      </c>
      <c r="K27" s="22">
        <f t="shared" si="5"/>
        <v>4992</v>
      </c>
      <c r="O27" t="s">
        <v>222</v>
      </c>
      <c r="P27" s="26">
        <v>2632</v>
      </c>
      <c r="Q27" s="26">
        <v>3334</v>
      </c>
      <c r="R27" s="26">
        <v>3825</v>
      </c>
    </row>
    <row r="28" spans="1:18" x14ac:dyDescent="0.4">
      <c r="D28" s="16" t="s">
        <v>230</v>
      </c>
      <c r="E28">
        <v>45.911000000000001</v>
      </c>
      <c r="F28" s="16">
        <v>45.911000000000001</v>
      </c>
      <c r="G28" s="16">
        <v>45.911000000000001</v>
      </c>
      <c r="H28" s="16">
        <v>45.911000000000001</v>
      </c>
      <c r="I28" s="16">
        <v>45.911000000000001</v>
      </c>
      <c r="J28">
        <v>45.911000000000001</v>
      </c>
      <c r="M28" s="16" t="s">
        <v>237</v>
      </c>
      <c r="N28" s="16" t="s">
        <v>216</v>
      </c>
      <c r="O28" s="16" t="s">
        <v>217</v>
      </c>
      <c r="P28" s="26">
        <v>15328</v>
      </c>
      <c r="Q28" s="26">
        <v>1734</v>
      </c>
      <c r="R28" s="26">
        <v>4099</v>
      </c>
    </row>
    <row r="29" spans="1:18" x14ac:dyDescent="0.4">
      <c r="D29" t="s">
        <v>304</v>
      </c>
      <c r="E29" t="s">
        <v>305</v>
      </c>
      <c r="F29" t="s">
        <v>308</v>
      </c>
      <c r="G29" t="s">
        <v>309</v>
      </c>
      <c r="H29" t="s">
        <v>310</v>
      </c>
      <c r="I29" t="s">
        <v>313</v>
      </c>
      <c r="J29" t="s">
        <v>315</v>
      </c>
      <c r="M29" s="16"/>
      <c r="N29" s="16"/>
      <c r="O29" s="16" t="s">
        <v>218</v>
      </c>
      <c r="P29" s="26">
        <v>14371</v>
      </c>
      <c r="Q29" s="26">
        <v>1734</v>
      </c>
      <c r="R29" s="26">
        <v>4030</v>
      </c>
    </row>
    <row r="30" spans="1:18" x14ac:dyDescent="0.4">
      <c r="D30" t="s">
        <v>311</v>
      </c>
      <c r="E30">
        <f>50*100</f>
        <v>5000</v>
      </c>
      <c r="M30" s="16"/>
      <c r="N30" s="16"/>
      <c r="O30" s="16" t="s">
        <v>219</v>
      </c>
      <c r="P30" s="26">
        <v>12839</v>
      </c>
      <c r="Q30" s="26">
        <v>1734</v>
      </c>
      <c r="R30" s="26">
        <v>3919</v>
      </c>
    </row>
    <row r="31" spans="1:18" x14ac:dyDescent="0.4">
      <c r="M31" s="16"/>
      <c r="N31" s="16"/>
      <c r="O31" s="16" t="s">
        <v>229</v>
      </c>
      <c r="P31" s="26">
        <v>10859</v>
      </c>
      <c r="Q31" s="26">
        <v>1734</v>
      </c>
      <c r="R31" s="26">
        <v>3716</v>
      </c>
    </row>
    <row r="32" spans="1:18" x14ac:dyDescent="0.4">
      <c r="A32" t="s">
        <v>297</v>
      </c>
      <c r="B32" t="s">
        <v>212</v>
      </c>
      <c r="C32" s="16"/>
      <c r="D32" s="16" t="s">
        <v>217</v>
      </c>
      <c r="E32" t="s">
        <v>314</v>
      </c>
      <c r="F32" s="16" t="s">
        <v>218</v>
      </c>
      <c r="G32" s="16" t="s">
        <v>219</v>
      </c>
      <c r="H32" s="16" t="s">
        <v>229</v>
      </c>
      <c r="I32" s="16" t="s">
        <v>220</v>
      </c>
      <c r="J32" s="16" t="s">
        <v>221</v>
      </c>
      <c r="K32" s="16" t="s">
        <v>222</v>
      </c>
      <c r="M32" s="16"/>
      <c r="N32" s="16"/>
      <c r="O32" s="16" t="s">
        <v>220</v>
      </c>
      <c r="P32" s="26">
        <v>8722</v>
      </c>
      <c r="Q32" s="26">
        <v>1734</v>
      </c>
      <c r="R32" s="26">
        <v>3447</v>
      </c>
    </row>
    <row r="33" spans="1:18" x14ac:dyDescent="0.4">
      <c r="C33" t="s">
        <v>226</v>
      </c>
      <c r="D33">
        <v>259</v>
      </c>
      <c r="M33" s="16"/>
      <c r="N33" s="16"/>
      <c r="O33" s="16" t="s">
        <v>221</v>
      </c>
      <c r="P33" s="26">
        <v>6236</v>
      </c>
      <c r="Q33" s="26">
        <v>1734</v>
      </c>
      <c r="R33" s="26">
        <v>3128</v>
      </c>
    </row>
    <row r="34" spans="1:18" x14ac:dyDescent="0.4">
      <c r="C34" s="16" t="s">
        <v>234</v>
      </c>
      <c r="D34">
        <f>HEX2DEC(D33)</f>
        <v>601</v>
      </c>
      <c r="M34" s="16"/>
      <c r="N34" s="16"/>
      <c r="O34" s="16" t="s">
        <v>222</v>
      </c>
      <c r="P34" s="26">
        <v>3120</v>
      </c>
      <c r="Q34" s="26">
        <v>1734</v>
      </c>
      <c r="R34" s="26">
        <v>2402</v>
      </c>
    </row>
    <row r="35" spans="1:18" x14ac:dyDescent="0.4">
      <c r="C35" t="s">
        <v>298</v>
      </c>
      <c r="D35">
        <f>D34*8</f>
        <v>4808</v>
      </c>
      <c r="M35" s="16" t="s">
        <v>297</v>
      </c>
      <c r="N35" s="16" t="s">
        <v>216</v>
      </c>
      <c r="O35" s="16" t="s">
        <v>217</v>
      </c>
      <c r="P35" s="26">
        <v>13603</v>
      </c>
      <c r="Q35" s="26">
        <v>1734</v>
      </c>
      <c r="R35" s="26">
        <v>3599</v>
      </c>
    </row>
    <row r="36" spans="1:18" x14ac:dyDescent="0.4">
      <c r="C36" t="s">
        <v>227</v>
      </c>
      <c r="D36">
        <v>416</v>
      </c>
      <c r="M36" s="16"/>
      <c r="N36" s="16"/>
      <c r="O36" s="16" t="s">
        <v>218</v>
      </c>
      <c r="P36" s="26">
        <v>13015</v>
      </c>
      <c r="Q36" s="26">
        <v>1734</v>
      </c>
      <c r="R36" s="26">
        <v>3589</v>
      </c>
    </row>
    <row r="37" spans="1:18" x14ac:dyDescent="0.4">
      <c r="C37" s="16" t="s">
        <v>298</v>
      </c>
      <c r="D37" s="16">
        <f>D36*8</f>
        <v>3328</v>
      </c>
      <c r="M37" s="16"/>
      <c r="N37" s="16"/>
      <c r="O37" s="16" t="s">
        <v>219</v>
      </c>
      <c r="P37" s="26">
        <v>11469</v>
      </c>
      <c r="Q37" s="26">
        <v>1734</v>
      </c>
      <c r="R37" s="26">
        <v>3552</v>
      </c>
    </row>
    <row r="38" spans="1:18" x14ac:dyDescent="0.4">
      <c r="C38" t="s">
        <v>301</v>
      </c>
      <c r="D38" t="s">
        <v>302</v>
      </c>
      <c r="M38" s="16"/>
      <c r="N38" s="16"/>
      <c r="O38" s="16" t="s">
        <v>229</v>
      </c>
      <c r="P38" s="26">
        <v>9879</v>
      </c>
      <c r="Q38" s="26">
        <v>1734</v>
      </c>
      <c r="R38" s="26">
        <v>3385</v>
      </c>
    </row>
    <row r="39" spans="1:18" x14ac:dyDescent="0.4">
      <c r="D39" s="21" t="s">
        <v>233</v>
      </c>
      <c r="E39">
        <v>136</v>
      </c>
      <c r="F39">
        <v>138</v>
      </c>
      <c r="G39">
        <v>138</v>
      </c>
      <c r="H39">
        <v>136</v>
      </c>
      <c r="I39">
        <v>137</v>
      </c>
      <c r="J39">
        <v>136</v>
      </c>
      <c r="K39">
        <v>136</v>
      </c>
      <c r="M39" s="16"/>
      <c r="N39" s="16"/>
      <c r="O39" s="16" t="s">
        <v>220</v>
      </c>
      <c r="P39" s="26">
        <v>7644</v>
      </c>
      <c r="Q39" s="26">
        <v>1734</v>
      </c>
      <c r="R39" s="26">
        <v>3037</v>
      </c>
    </row>
    <row r="40" spans="1:18" x14ac:dyDescent="0.4">
      <c r="D40" s="22" t="s">
        <v>234</v>
      </c>
      <c r="E40" s="22">
        <f t="shared" ref="E40:J40" si="6">HEX2DEC(E39)</f>
        <v>310</v>
      </c>
      <c r="F40" s="22">
        <f t="shared" si="6"/>
        <v>312</v>
      </c>
      <c r="G40" s="22">
        <f t="shared" si="6"/>
        <v>312</v>
      </c>
      <c r="H40" s="22">
        <f t="shared" si="6"/>
        <v>310</v>
      </c>
      <c r="I40" s="22">
        <f t="shared" si="6"/>
        <v>311</v>
      </c>
      <c r="J40" s="22">
        <f t="shared" si="6"/>
        <v>310</v>
      </c>
      <c r="K40" s="22">
        <f>HEX2DEC(K39)</f>
        <v>310</v>
      </c>
      <c r="M40" s="16"/>
      <c r="N40" s="16"/>
      <c r="O40" s="16" t="s">
        <v>221</v>
      </c>
      <c r="P40" s="26">
        <v>4558</v>
      </c>
      <c r="Q40" s="26">
        <v>1734</v>
      </c>
      <c r="R40" s="26">
        <v>2416</v>
      </c>
    </row>
    <row r="41" spans="1:18" x14ac:dyDescent="0.4">
      <c r="D41" s="16" t="s">
        <v>298</v>
      </c>
      <c r="E41" s="16">
        <f t="shared" ref="E41:J41" si="7">E40*8</f>
        <v>2480</v>
      </c>
      <c r="F41" s="16">
        <f t="shared" si="7"/>
        <v>2496</v>
      </c>
      <c r="G41" s="16">
        <f t="shared" si="7"/>
        <v>2496</v>
      </c>
      <c r="H41" s="16">
        <f t="shared" si="7"/>
        <v>2480</v>
      </c>
      <c r="I41" s="16">
        <f t="shared" si="7"/>
        <v>2488</v>
      </c>
      <c r="J41" s="16">
        <f t="shared" si="7"/>
        <v>2480</v>
      </c>
      <c r="K41" s="16">
        <f>K40*8</f>
        <v>2480</v>
      </c>
      <c r="M41" s="16"/>
      <c r="N41" s="16"/>
      <c r="O41" s="16" t="s">
        <v>222</v>
      </c>
      <c r="P41" s="26">
        <v>1382</v>
      </c>
      <c r="Q41" s="26">
        <v>1734</v>
      </c>
      <c r="R41" s="26">
        <v>1961</v>
      </c>
    </row>
    <row r="42" spans="1:18" x14ac:dyDescent="0.4">
      <c r="D42" s="21" t="s">
        <v>238</v>
      </c>
      <c r="E42">
        <v>311</v>
      </c>
      <c r="F42">
        <v>310</v>
      </c>
      <c r="G42">
        <v>310</v>
      </c>
      <c r="H42">
        <v>312</v>
      </c>
      <c r="I42">
        <v>310</v>
      </c>
      <c r="J42">
        <v>312</v>
      </c>
      <c r="K42">
        <v>311</v>
      </c>
    </row>
    <row r="43" spans="1:18" x14ac:dyDescent="0.4">
      <c r="D43" s="22" t="s">
        <v>298</v>
      </c>
      <c r="E43" s="16">
        <f t="shared" ref="E43:J43" si="8">E42*8</f>
        <v>2488</v>
      </c>
      <c r="F43" s="16">
        <f t="shared" si="8"/>
        <v>2480</v>
      </c>
      <c r="G43" s="16">
        <f t="shared" si="8"/>
        <v>2480</v>
      </c>
      <c r="H43" s="16">
        <f t="shared" si="8"/>
        <v>2496</v>
      </c>
      <c r="I43" s="16">
        <f t="shared" si="8"/>
        <v>2480</v>
      </c>
      <c r="J43" s="16">
        <f t="shared" si="8"/>
        <v>2496</v>
      </c>
      <c r="K43" s="16">
        <f>K42*8</f>
        <v>2488</v>
      </c>
    </row>
    <row r="44" spans="1:18" x14ac:dyDescent="0.4">
      <c r="C44" s="16"/>
    </row>
    <row r="45" spans="1:18" x14ac:dyDescent="0.4">
      <c r="C45" s="16"/>
      <c r="D45" s="16"/>
    </row>
    <row r="46" spans="1:18" x14ac:dyDescent="0.4">
      <c r="A46" s="16"/>
      <c r="B46" s="16"/>
      <c r="D46" s="16"/>
      <c r="E46" s="16"/>
      <c r="F46" s="16"/>
      <c r="G46" s="16"/>
    </row>
    <row r="48" spans="1:18" x14ac:dyDescent="0.4">
      <c r="A48" s="16" t="s">
        <v>213</v>
      </c>
      <c r="B48" s="16" t="s">
        <v>211</v>
      </c>
      <c r="C48" s="16" t="s">
        <v>216</v>
      </c>
      <c r="D48" s="16"/>
      <c r="E48" s="16" t="s">
        <v>217</v>
      </c>
      <c r="F48" s="16" t="s">
        <v>218</v>
      </c>
      <c r="G48" s="16" t="s">
        <v>219</v>
      </c>
      <c r="H48" s="16" t="s">
        <v>229</v>
      </c>
      <c r="I48" s="16" t="s">
        <v>220</v>
      </c>
      <c r="J48" s="16" t="s">
        <v>221</v>
      </c>
      <c r="K48" s="16" t="s">
        <v>222</v>
      </c>
    </row>
    <row r="49" spans="1:11" x14ac:dyDescent="0.4">
      <c r="D49" s="16" t="s">
        <v>233</v>
      </c>
      <c r="E49" t="s">
        <v>327</v>
      </c>
      <c r="F49" s="16" t="s">
        <v>326</v>
      </c>
      <c r="G49" s="16" t="s">
        <v>328</v>
      </c>
      <c r="H49" s="16" t="s">
        <v>329</v>
      </c>
      <c r="I49" t="s">
        <v>329</v>
      </c>
      <c r="J49" t="s">
        <v>327</v>
      </c>
      <c r="K49" t="s">
        <v>330</v>
      </c>
    </row>
    <row r="50" spans="1:11" x14ac:dyDescent="0.4">
      <c r="D50" s="16" t="s">
        <v>234</v>
      </c>
      <c r="E50">
        <f>HEX2DEC(E49)</f>
        <v>623</v>
      </c>
      <c r="F50" s="16">
        <f t="shared" ref="F50:K50" si="9">HEX2DEC(F49)</f>
        <v>620</v>
      </c>
      <c r="G50" s="16">
        <f t="shared" si="9"/>
        <v>621</v>
      </c>
      <c r="H50" s="16">
        <f t="shared" si="9"/>
        <v>620</v>
      </c>
      <c r="I50" s="16">
        <f t="shared" si="9"/>
        <v>620</v>
      </c>
      <c r="J50" s="16">
        <f t="shared" si="9"/>
        <v>623</v>
      </c>
      <c r="K50" s="16">
        <f t="shared" si="9"/>
        <v>622</v>
      </c>
    </row>
    <row r="51" spans="1:11" x14ac:dyDescent="0.4">
      <c r="D51" s="16" t="s">
        <v>298</v>
      </c>
      <c r="E51">
        <f>E50*8</f>
        <v>4984</v>
      </c>
      <c r="F51" s="16">
        <f t="shared" ref="F51:K51" si="10">F50*8</f>
        <v>4960</v>
      </c>
      <c r="G51" s="16">
        <f t="shared" si="10"/>
        <v>4968</v>
      </c>
      <c r="H51" s="16">
        <f t="shared" si="10"/>
        <v>4960</v>
      </c>
      <c r="I51" s="16">
        <f t="shared" si="10"/>
        <v>4960</v>
      </c>
      <c r="J51" s="16">
        <f t="shared" si="10"/>
        <v>4984</v>
      </c>
      <c r="K51" s="16">
        <f t="shared" si="10"/>
        <v>4976</v>
      </c>
    </row>
    <row r="52" spans="1:11" x14ac:dyDescent="0.4">
      <c r="D52" s="21" t="s">
        <v>238</v>
      </c>
      <c r="E52" t="s">
        <v>327</v>
      </c>
      <c r="F52" s="16" t="s">
        <v>327</v>
      </c>
      <c r="G52" s="16" t="s">
        <v>327</v>
      </c>
      <c r="H52" s="16" t="s">
        <v>327</v>
      </c>
      <c r="I52" t="s">
        <v>327</v>
      </c>
      <c r="J52" t="s">
        <v>327</v>
      </c>
      <c r="K52">
        <v>271</v>
      </c>
    </row>
    <row r="53" spans="1:11" x14ac:dyDescent="0.4">
      <c r="D53" t="s">
        <v>331</v>
      </c>
      <c r="E53" s="16">
        <f>HEX2DEC(E52)</f>
        <v>623</v>
      </c>
      <c r="F53" s="16">
        <f t="shared" ref="F53:K53" si="11">HEX2DEC(F52)</f>
        <v>623</v>
      </c>
      <c r="G53" s="16">
        <f t="shared" si="11"/>
        <v>623</v>
      </c>
      <c r="H53" s="16">
        <f t="shared" si="11"/>
        <v>623</v>
      </c>
      <c r="I53" s="16">
        <f t="shared" si="11"/>
        <v>623</v>
      </c>
      <c r="J53" s="16">
        <f t="shared" si="11"/>
        <v>623</v>
      </c>
      <c r="K53" s="16">
        <f t="shared" si="11"/>
        <v>625</v>
      </c>
    </row>
    <row r="54" spans="1:11" x14ac:dyDescent="0.4">
      <c r="D54" s="22" t="s">
        <v>298</v>
      </c>
      <c r="E54" s="16">
        <f>E53*8</f>
        <v>4984</v>
      </c>
      <c r="F54" s="16">
        <f t="shared" ref="F54:K54" si="12">F53*8</f>
        <v>4984</v>
      </c>
      <c r="G54" s="16">
        <f t="shared" si="12"/>
        <v>4984</v>
      </c>
      <c r="H54" s="16">
        <f t="shared" si="12"/>
        <v>4984</v>
      </c>
      <c r="I54" s="16">
        <f t="shared" si="12"/>
        <v>4984</v>
      </c>
      <c r="J54" s="16">
        <f t="shared" si="12"/>
        <v>4984</v>
      </c>
      <c r="K54" s="16">
        <f t="shared" si="12"/>
        <v>5000</v>
      </c>
    </row>
    <row r="55" spans="1:11" x14ac:dyDescent="0.4">
      <c r="D55" s="16"/>
    </row>
    <row r="56" spans="1:11" x14ac:dyDescent="0.4">
      <c r="D56" s="16"/>
    </row>
    <row r="57" spans="1:11" x14ac:dyDescent="0.4">
      <c r="D57" s="16"/>
    </row>
    <row r="59" spans="1:11" x14ac:dyDescent="0.4">
      <c r="A59" s="16" t="s">
        <v>213</v>
      </c>
      <c r="B59" s="16" t="s">
        <v>297</v>
      </c>
      <c r="C59" s="16" t="s">
        <v>216</v>
      </c>
      <c r="D59" s="16"/>
      <c r="E59" s="16" t="s">
        <v>217</v>
      </c>
      <c r="F59" s="16" t="s">
        <v>218</v>
      </c>
      <c r="G59" s="16" t="s">
        <v>219</v>
      </c>
      <c r="H59" s="16" t="s">
        <v>229</v>
      </c>
      <c r="I59" s="16" t="s">
        <v>220</v>
      </c>
      <c r="J59" s="16" t="s">
        <v>221</v>
      </c>
      <c r="K59" s="16" t="s">
        <v>222</v>
      </c>
    </row>
    <row r="60" spans="1:11" x14ac:dyDescent="0.4">
      <c r="D60" s="16" t="s">
        <v>233</v>
      </c>
      <c r="E60">
        <v>137</v>
      </c>
      <c r="F60">
        <v>137</v>
      </c>
      <c r="G60">
        <v>136</v>
      </c>
      <c r="H60">
        <v>137</v>
      </c>
      <c r="I60">
        <v>136</v>
      </c>
      <c r="J60">
        <v>137</v>
      </c>
      <c r="K60">
        <v>136</v>
      </c>
    </row>
    <row r="61" spans="1:11" x14ac:dyDescent="0.4">
      <c r="D61" s="16" t="s">
        <v>234</v>
      </c>
      <c r="E61" s="16">
        <f>HEX2DEC(E60)</f>
        <v>311</v>
      </c>
      <c r="F61" s="16">
        <f t="shared" ref="F61:K61" si="13">HEX2DEC(F60)</f>
        <v>311</v>
      </c>
      <c r="G61" s="16">
        <f t="shared" si="13"/>
        <v>310</v>
      </c>
      <c r="H61" s="16">
        <f t="shared" si="13"/>
        <v>311</v>
      </c>
      <c r="I61" s="16">
        <f t="shared" si="13"/>
        <v>310</v>
      </c>
      <c r="J61" s="16">
        <f t="shared" si="13"/>
        <v>311</v>
      </c>
      <c r="K61" s="16">
        <f t="shared" si="13"/>
        <v>310</v>
      </c>
    </row>
    <row r="62" spans="1:11" x14ac:dyDescent="0.4">
      <c r="D62" s="16" t="s">
        <v>298</v>
      </c>
      <c r="E62" s="16">
        <f>E61*8</f>
        <v>2488</v>
      </c>
      <c r="F62" s="16">
        <f t="shared" ref="F62:K62" si="14">F61*8</f>
        <v>2488</v>
      </c>
      <c r="G62" s="16">
        <f t="shared" si="14"/>
        <v>2480</v>
      </c>
      <c r="H62" s="16">
        <f t="shared" si="14"/>
        <v>2488</v>
      </c>
      <c r="I62" s="16">
        <f t="shared" si="14"/>
        <v>2480</v>
      </c>
      <c r="J62" s="16">
        <f t="shared" si="14"/>
        <v>2488</v>
      </c>
      <c r="K62" s="16">
        <f t="shared" si="14"/>
        <v>2480</v>
      </c>
    </row>
    <row r="63" spans="1:11" x14ac:dyDescent="0.4">
      <c r="D63" s="21" t="s">
        <v>238</v>
      </c>
      <c r="E63">
        <v>137</v>
      </c>
      <c r="F63">
        <v>136</v>
      </c>
      <c r="G63">
        <v>137</v>
      </c>
      <c r="H63">
        <v>137</v>
      </c>
      <c r="I63">
        <v>137</v>
      </c>
      <c r="J63">
        <v>137</v>
      </c>
      <c r="K63">
        <v>139</v>
      </c>
    </row>
    <row r="64" spans="1:11" x14ac:dyDescent="0.4">
      <c r="D64" t="s">
        <v>331</v>
      </c>
      <c r="E64" s="16">
        <f>HEX2DEC(E63)</f>
        <v>311</v>
      </c>
      <c r="F64" s="16">
        <f t="shared" ref="F64:K64" si="15">HEX2DEC(F63)</f>
        <v>310</v>
      </c>
      <c r="G64" s="16">
        <f t="shared" si="15"/>
        <v>311</v>
      </c>
      <c r="H64" s="16">
        <f t="shared" si="15"/>
        <v>311</v>
      </c>
      <c r="I64" s="16">
        <f t="shared" si="15"/>
        <v>311</v>
      </c>
      <c r="J64" s="16">
        <f t="shared" si="15"/>
        <v>311</v>
      </c>
      <c r="K64" s="16">
        <f t="shared" si="15"/>
        <v>313</v>
      </c>
    </row>
    <row r="65" spans="4:11" x14ac:dyDescent="0.4">
      <c r="D65" s="22" t="s">
        <v>298</v>
      </c>
      <c r="E65" s="16">
        <f>E64*8</f>
        <v>2488</v>
      </c>
      <c r="F65" s="16">
        <f t="shared" ref="F65:K65" si="16">F64*8</f>
        <v>2480</v>
      </c>
      <c r="G65" s="16">
        <f t="shared" si="16"/>
        <v>2488</v>
      </c>
      <c r="H65" s="16">
        <f t="shared" si="16"/>
        <v>2488</v>
      </c>
      <c r="I65" s="16">
        <f t="shared" si="16"/>
        <v>2488</v>
      </c>
      <c r="J65" s="16">
        <f t="shared" si="16"/>
        <v>2488</v>
      </c>
      <c r="K65" s="16">
        <f t="shared" si="16"/>
        <v>2504</v>
      </c>
    </row>
    <row r="66" spans="4:11" x14ac:dyDescent="0.4">
      <c r="D66" s="16"/>
    </row>
    <row r="67" spans="4:11" x14ac:dyDescent="0.4">
      <c r="D67" s="16"/>
    </row>
    <row r="68" spans="4:11" x14ac:dyDescent="0.4">
      <c r="D68" s="16"/>
    </row>
    <row r="81" spans="1:8" x14ac:dyDescent="0.4">
      <c r="A81" t="s">
        <v>324</v>
      </c>
      <c r="B81" t="s">
        <v>267</v>
      </c>
      <c r="C81" t="s">
        <v>268</v>
      </c>
      <c r="D81" t="s">
        <v>269</v>
      </c>
      <c r="E81" t="s">
        <v>270</v>
      </c>
      <c r="F81" t="s">
        <v>271</v>
      </c>
      <c r="G81" t="s">
        <v>272</v>
      </c>
      <c r="H81" t="s">
        <v>273</v>
      </c>
    </row>
    <row r="82" spans="1:8" x14ac:dyDescent="0.4">
      <c r="A82">
        <v>0</v>
      </c>
      <c r="B82">
        <v>1.629</v>
      </c>
      <c r="C82">
        <v>1.631</v>
      </c>
      <c r="D82">
        <v>1.6180000000000001</v>
      </c>
      <c r="E82">
        <v>1.5880000000000001</v>
      </c>
      <c r="F82">
        <v>1.5780000000000001</v>
      </c>
      <c r="G82">
        <v>1.57</v>
      </c>
      <c r="H82">
        <v>1.5449999999999999</v>
      </c>
    </row>
    <row r="83" spans="1:8" x14ac:dyDescent="0.4">
      <c r="A83">
        <v>0</v>
      </c>
      <c r="B83">
        <v>1.629</v>
      </c>
      <c r="C83">
        <v>1.629</v>
      </c>
      <c r="D83">
        <v>1.6180000000000001</v>
      </c>
      <c r="E83">
        <v>1.595</v>
      </c>
      <c r="F83">
        <v>1.5780000000000001</v>
      </c>
      <c r="G83">
        <v>1.57</v>
      </c>
      <c r="H83">
        <v>1.5449999999999999</v>
      </c>
    </row>
    <row r="84" spans="1:8" x14ac:dyDescent="0.4">
      <c r="A84">
        <v>1</v>
      </c>
      <c r="B84">
        <v>1.6180000000000001</v>
      </c>
      <c r="C84">
        <v>1.629</v>
      </c>
      <c r="D84">
        <v>1.6180000000000001</v>
      </c>
      <c r="E84">
        <v>1.595</v>
      </c>
      <c r="F84">
        <v>1.591</v>
      </c>
      <c r="G84">
        <v>1.573</v>
      </c>
      <c r="H84">
        <v>1.5349999999999999</v>
      </c>
    </row>
    <row r="85" spans="1:8" x14ac:dyDescent="0.4">
      <c r="A85">
        <v>1</v>
      </c>
      <c r="B85">
        <v>1.6180000000000001</v>
      </c>
      <c r="C85">
        <v>1.629</v>
      </c>
      <c r="D85">
        <v>1.6080000000000001</v>
      </c>
      <c r="E85">
        <v>1.5880000000000001</v>
      </c>
      <c r="F85">
        <v>1.5780000000000001</v>
      </c>
      <c r="G85">
        <v>1.56</v>
      </c>
      <c r="H85">
        <v>1.5349999999999999</v>
      </c>
    </row>
    <row r="86" spans="1:8" x14ac:dyDescent="0.4">
      <c r="A86">
        <v>2</v>
      </c>
      <c r="B86">
        <v>1.639</v>
      </c>
      <c r="C86">
        <v>1.629</v>
      </c>
      <c r="D86">
        <v>1.6080000000000001</v>
      </c>
      <c r="E86">
        <v>1.5880000000000001</v>
      </c>
      <c r="F86">
        <v>1.5780000000000001</v>
      </c>
      <c r="G86">
        <v>1.5669999999999999</v>
      </c>
      <c r="H86">
        <v>1.5449999999999999</v>
      </c>
    </row>
    <row r="87" spans="1:8" x14ac:dyDescent="0.4">
      <c r="A87">
        <v>2</v>
      </c>
      <c r="B87">
        <v>1.639</v>
      </c>
      <c r="C87">
        <v>1.6259999999999999</v>
      </c>
      <c r="D87">
        <v>1.5980000000000001</v>
      </c>
      <c r="E87">
        <v>1.5880000000000001</v>
      </c>
      <c r="F87">
        <v>1.581</v>
      </c>
      <c r="G87">
        <v>1.5669999999999999</v>
      </c>
      <c r="H87">
        <v>1.5349999999999999</v>
      </c>
    </row>
    <row r="88" spans="1:8" x14ac:dyDescent="0.4">
      <c r="A88">
        <v>3</v>
      </c>
      <c r="B88">
        <v>1.629</v>
      </c>
      <c r="C88">
        <v>1.6180000000000001</v>
      </c>
      <c r="D88">
        <v>1.6080000000000001</v>
      </c>
      <c r="E88">
        <v>1.5980000000000001</v>
      </c>
      <c r="F88">
        <v>1.581</v>
      </c>
      <c r="G88">
        <v>1.5669999999999999</v>
      </c>
      <c r="H88">
        <v>1.552</v>
      </c>
    </row>
    <row r="89" spans="1:8" x14ac:dyDescent="0.4">
      <c r="A89">
        <v>3</v>
      </c>
      <c r="B89">
        <v>1.639</v>
      </c>
      <c r="C89">
        <v>1.6259999999999999</v>
      </c>
      <c r="D89">
        <v>1.6080000000000001</v>
      </c>
      <c r="E89">
        <v>1.5980000000000001</v>
      </c>
      <c r="F89">
        <v>1.581</v>
      </c>
      <c r="G89">
        <v>1.5669999999999999</v>
      </c>
      <c r="H89">
        <v>1.542</v>
      </c>
    </row>
    <row r="90" spans="1:8" x14ac:dyDescent="0.4">
      <c r="A90">
        <v>4</v>
      </c>
      <c r="B90">
        <v>1.639</v>
      </c>
      <c r="C90">
        <v>1.6259999999999999</v>
      </c>
      <c r="D90">
        <v>1.6080000000000001</v>
      </c>
      <c r="E90">
        <v>1.5880000000000001</v>
      </c>
      <c r="F90">
        <v>1.5760000000000001</v>
      </c>
      <c r="G90">
        <v>1.5640000000000001</v>
      </c>
      <c r="H90">
        <v>1.532</v>
      </c>
    </row>
    <row r="91" spans="1:8" x14ac:dyDescent="0.4">
      <c r="A91">
        <v>4</v>
      </c>
      <c r="B91">
        <v>1.629</v>
      </c>
      <c r="C91">
        <v>1.629</v>
      </c>
      <c r="D91">
        <v>1.6080000000000001</v>
      </c>
      <c r="E91">
        <v>1.5880000000000001</v>
      </c>
      <c r="F91">
        <v>1.5760000000000001</v>
      </c>
      <c r="G91">
        <v>1.57</v>
      </c>
      <c r="H91">
        <v>1.532</v>
      </c>
    </row>
    <row r="92" spans="1:8" x14ac:dyDescent="0.4">
      <c r="A92">
        <v>5</v>
      </c>
      <c r="B92">
        <v>1.629</v>
      </c>
      <c r="C92">
        <v>1.6180000000000001</v>
      </c>
      <c r="D92">
        <v>1.6080000000000001</v>
      </c>
      <c r="E92">
        <v>1.5880000000000001</v>
      </c>
      <c r="F92">
        <v>1.5760000000000001</v>
      </c>
      <c r="G92">
        <v>1.5669999999999999</v>
      </c>
      <c r="H92">
        <v>1.5349999999999999</v>
      </c>
    </row>
    <row r="93" spans="1:8" x14ac:dyDescent="0.4">
      <c r="A93">
        <v>5</v>
      </c>
      <c r="B93">
        <v>1.6339999999999999</v>
      </c>
      <c r="C93">
        <v>1.6180000000000001</v>
      </c>
      <c r="D93">
        <v>1.6080000000000001</v>
      </c>
      <c r="E93">
        <v>1.5880000000000001</v>
      </c>
      <c r="F93">
        <v>1.5760000000000001</v>
      </c>
      <c r="G93">
        <v>1.57</v>
      </c>
      <c r="H93">
        <v>1.5349999999999999</v>
      </c>
    </row>
    <row r="94" spans="1:8" x14ac:dyDescent="0.4">
      <c r="A94">
        <v>6</v>
      </c>
      <c r="B94">
        <v>1.6180000000000001</v>
      </c>
      <c r="C94">
        <v>1.629</v>
      </c>
      <c r="D94">
        <v>1.5980000000000001</v>
      </c>
      <c r="E94">
        <v>1.5880000000000001</v>
      </c>
      <c r="F94">
        <v>1.5880000000000001</v>
      </c>
      <c r="G94">
        <v>1.57</v>
      </c>
      <c r="H94">
        <v>1.5349999999999999</v>
      </c>
    </row>
    <row r="95" spans="1:8" x14ac:dyDescent="0.4">
      <c r="A95">
        <v>6</v>
      </c>
      <c r="B95">
        <v>1.629</v>
      </c>
      <c r="C95">
        <v>1.6259999999999999</v>
      </c>
      <c r="D95">
        <v>1.5980000000000001</v>
      </c>
      <c r="E95">
        <v>1.5880000000000001</v>
      </c>
      <c r="F95">
        <v>1.573</v>
      </c>
      <c r="G95">
        <v>1.57</v>
      </c>
      <c r="H95">
        <v>1.5349999999999999</v>
      </c>
    </row>
    <row r="96" spans="1:8" x14ac:dyDescent="0.4">
      <c r="A96">
        <v>7</v>
      </c>
      <c r="B96">
        <v>1.629</v>
      </c>
      <c r="C96">
        <v>1.629</v>
      </c>
      <c r="D96">
        <v>1.6080000000000001</v>
      </c>
      <c r="E96">
        <v>1.5880000000000001</v>
      </c>
      <c r="F96">
        <v>1.591</v>
      </c>
      <c r="G96">
        <v>1.57</v>
      </c>
      <c r="H96">
        <v>1.5349999999999999</v>
      </c>
    </row>
    <row r="97" spans="1:8" x14ac:dyDescent="0.4">
      <c r="A97">
        <v>7</v>
      </c>
      <c r="B97">
        <v>1.629</v>
      </c>
      <c r="C97">
        <v>1.629</v>
      </c>
      <c r="D97">
        <v>1.601</v>
      </c>
      <c r="E97">
        <v>1.5880000000000001</v>
      </c>
      <c r="F97">
        <v>1.5760000000000001</v>
      </c>
      <c r="G97">
        <v>1.57</v>
      </c>
      <c r="H97">
        <v>1.5349999999999999</v>
      </c>
    </row>
    <row r="98" spans="1:8" x14ac:dyDescent="0.4">
      <c r="A98">
        <v>8</v>
      </c>
      <c r="B98">
        <v>1.629</v>
      </c>
      <c r="C98">
        <v>1.6180000000000001</v>
      </c>
      <c r="D98">
        <v>1.6080000000000001</v>
      </c>
      <c r="E98">
        <v>1.5780000000000001</v>
      </c>
      <c r="F98">
        <v>1.581</v>
      </c>
      <c r="G98">
        <v>1.57</v>
      </c>
      <c r="H98">
        <v>1.5349999999999999</v>
      </c>
    </row>
    <row r="99" spans="1:8" x14ac:dyDescent="0.4">
      <c r="A99">
        <v>8</v>
      </c>
      <c r="B99">
        <v>1.629</v>
      </c>
      <c r="C99">
        <v>1.629</v>
      </c>
      <c r="D99">
        <v>1.6080000000000001</v>
      </c>
      <c r="E99">
        <v>1.5880000000000001</v>
      </c>
      <c r="F99">
        <v>1.591</v>
      </c>
      <c r="G99">
        <v>1.57</v>
      </c>
      <c r="H99">
        <v>1.542</v>
      </c>
    </row>
    <row r="100" spans="1:8" x14ac:dyDescent="0.4">
      <c r="A100">
        <v>9</v>
      </c>
      <c r="B100">
        <v>1.639</v>
      </c>
      <c r="C100">
        <v>1.6180000000000001</v>
      </c>
      <c r="D100">
        <v>1.6180000000000001</v>
      </c>
      <c r="E100">
        <v>1.5780000000000001</v>
      </c>
      <c r="F100">
        <v>1.5780000000000001</v>
      </c>
      <c r="G100">
        <v>1.57</v>
      </c>
      <c r="H100">
        <v>1.542</v>
      </c>
    </row>
    <row r="101" spans="1:8" x14ac:dyDescent="0.4">
      <c r="A101">
        <v>9</v>
      </c>
      <c r="B101">
        <v>1.639</v>
      </c>
      <c r="C101">
        <v>1.6259999999999999</v>
      </c>
      <c r="D101">
        <v>1.611</v>
      </c>
      <c r="E101">
        <v>1.5880000000000001</v>
      </c>
      <c r="F101">
        <v>1.5780000000000001</v>
      </c>
      <c r="G101">
        <v>1.57</v>
      </c>
      <c r="H101">
        <v>1.532</v>
      </c>
    </row>
    <row r="102" spans="1:8" x14ac:dyDescent="0.4">
      <c r="A102">
        <v>10</v>
      </c>
      <c r="B102">
        <v>1.629</v>
      </c>
      <c r="C102">
        <v>1.6259999999999999</v>
      </c>
      <c r="D102">
        <v>1.611</v>
      </c>
      <c r="E102">
        <v>1.585</v>
      </c>
      <c r="F102">
        <v>1.601</v>
      </c>
      <c r="G102">
        <v>1.573</v>
      </c>
      <c r="H102">
        <v>1.542</v>
      </c>
    </row>
    <row r="103" spans="1:8" x14ac:dyDescent="0.4">
      <c r="A103">
        <v>10</v>
      </c>
      <c r="B103">
        <v>1.629</v>
      </c>
      <c r="C103">
        <v>1.629</v>
      </c>
      <c r="D103">
        <v>1.611</v>
      </c>
      <c r="E103">
        <v>1.5880000000000001</v>
      </c>
      <c r="F103">
        <v>1.5880000000000001</v>
      </c>
      <c r="G103">
        <v>1.605</v>
      </c>
      <c r="H103">
        <v>1.5449999999999999</v>
      </c>
    </row>
    <row r="104" spans="1:8" x14ac:dyDescent="0.4">
      <c r="A104">
        <v>11</v>
      </c>
      <c r="B104">
        <v>1.6259999999999999</v>
      </c>
      <c r="C104">
        <v>1.6180000000000001</v>
      </c>
      <c r="D104">
        <v>1.5980000000000001</v>
      </c>
      <c r="E104">
        <v>1.5780000000000001</v>
      </c>
      <c r="F104">
        <v>1.5880000000000001</v>
      </c>
      <c r="G104">
        <v>1.5720000000000001</v>
      </c>
      <c r="H104">
        <v>1.5449999999999999</v>
      </c>
    </row>
    <row r="105" spans="1:8" x14ac:dyDescent="0.4">
      <c r="A105">
        <v>11</v>
      </c>
      <c r="B105">
        <v>1.629</v>
      </c>
      <c r="C105">
        <v>1.6180000000000001</v>
      </c>
      <c r="D105">
        <v>1.6080000000000001</v>
      </c>
      <c r="E105">
        <v>1.5980000000000001</v>
      </c>
      <c r="F105">
        <v>1.5780000000000001</v>
      </c>
      <c r="G105">
        <v>1.5669999999999999</v>
      </c>
      <c r="H105">
        <v>1.5449999999999999</v>
      </c>
    </row>
    <row r="106" spans="1:8" x14ac:dyDescent="0.4">
      <c r="A106">
        <v>12</v>
      </c>
      <c r="B106">
        <v>1.6259999999999999</v>
      </c>
      <c r="C106">
        <v>1.629</v>
      </c>
      <c r="D106">
        <v>1.6080000000000001</v>
      </c>
      <c r="E106">
        <v>1.5980000000000001</v>
      </c>
      <c r="F106">
        <v>1.5880000000000001</v>
      </c>
      <c r="G106">
        <v>1.57</v>
      </c>
      <c r="H106">
        <v>1.542</v>
      </c>
    </row>
    <row r="107" spans="1:8" x14ac:dyDescent="0.4">
      <c r="A107">
        <v>12</v>
      </c>
      <c r="B107">
        <v>1.629</v>
      </c>
      <c r="C107">
        <v>1.639</v>
      </c>
      <c r="D107">
        <v>1.611</v>
      </c>
      <c r="E107">
        <v>1.5880000000000001</v>
      </c>
      <c r="F107">
        <v>1.5780000000000001</v>
      </c>
      <c r="G107">
        <v>1.5669999999999999</v>
      </c>
      <c r="H107">
        <v>1.5349999999999999</v>
      </c>
    </row>
    <row r="108" spans="1:8" x14ac:dyDescent="0.4">
      <c r="A108">
        <v>13</v>
      </c>
      <c r="B108">
        <v>1.6259999999999999</v>
      </c>
      <c r="C108">
        <v>1.639</v>
      </c>
      <c r="D108">
        <v>1.595</v>
      </c>
      <c r="E108">
        <v>1.5880000000000001</v>
      </c>
      <c r="F108">
        <v>1.581</v>
      </c>
      <c r="G108">
        <v>1.57</v>
      </c>
      <c r="H108">
        <v>1.532</v>
      </c>
    </row>
    <row r="109" spans="1:8" x14ac:dyDescent="0.4">
      <c r="A109">
        <v>13</v>
      </c>
      <c r="B109">
        <v>1.629</v>
      </c>
      <c r="C109">
        <v>1.629</v>
      </c>
      <c r="D109">
        <v>1.595</v>
      </c>
      <c r="E109">
        <v>1.5880000000000001</v>
      </c>
      <c r="F109">
        <v>1.573</v>
      </c>
      <c r="G109">
        <v>1.57</v>
      </c>
      <c r="H109">
        <v>1.5449999999999999</v>
      </c>
    </row>
    <row r="110" spans="1:8" x14ac:dyDescent="0.4">
      <c r="A110">
        <v>14</v>
      </c>
      <c r="B110">
        <v>1.629</v>
      </c>
      <c r="C110">
        <v>1.629</v>
      </c>
      <c r="D110">
        <v>1.611</v>
      </c>
      <c r="E110">
        <v>1.601</v>
      </c>
      <c r="F110">
        <v>1.573</v>
      </c>
      <c r="G110">
        <v>1.5669999999999999</v>
      </c>
      <c r="H110">
        <v>1.5449999999999999</v>
      </c>
    </row>
    <row r="111" spans="1:8" x14ac:dyDescent="0.4">
      <c r="A111">
        <v>14</v>
      </c>
      <c r="B111">
        <v>1.629</v>
      </c>
      <c r="C111">
        <v>1.6180000000000001</v>
      </c>
      <c r="D111">
        <v>1.639</v>
      </c>
      <c r="E111">
        <v>1.601</v>
      </c>
      <c r="F111">
        <v>1.5780000000000001</v>
      </c>
      <c r="G111">
        <v>1.56</v>
      </c>
      <c r="H111">
        <v>1.5449999999999999</v>
      </c>
    </row>
    <row r="112" spans="1:8" x14ac:dyDescent="0.4">
      <c r="A112">
        <v>15</v>
      </c>
      <c r="B112">
        <v>1.629</v>
      </c>
      <c r="C112">
        <v>1.6259999999999999</v>
      </c>
      <c r="D112">
        <v>1.639</v>
      </c>
      <c r="E112">
        <v>1.5880000000000001</v>
      </c>
      <c r="F112">
        <v>1.5780000000000001</v>
      </c>
      <c r="G112">
        <v>1.5669999999999999</v>
      </c>
      <c r="H112">
        <v>1.5449999999999999</v>
      </c>
    </row>
    <row r="113" spans="1:8" x14ac:dyDescent="0.4">
      <c r="A113">
        <v>15</v>
      </c>
      <c r="B113">
        <v>1.629</v>
      </c>
      <c r="C113">
        <v>1.621</v>
      </c>
      <c r="D113">
        <v>1.6080000000000001</v>
      </c>
      <c r="E113">
        <v>1.585</v>
      </c>
      <c r="F113">
        <v>1.601</v>
      </c>
      <c r="G113">
        <v>1.5669999999999999</v>
      </c>
      <c r="H113">
        <v>1.5449999999999999</v>
      </c>
    </row>
    <row r="114" spans="1:8" x14ac:dyDescent="0.4">
      <c r="A114">
        <v>16</v>
      </c>
      <c r="B114">
        <v>1.629</v>
      </c>
      <c r="C114">
        <v>1.6180000000000001</v>
      </c>
      <c r="D114">
        <v>1.6180000000000001</v>
      </c>
      <c r="E114">
        <v>1.5880000000000001</v>
      </c>
      <c r="F114">
        <v>1.581</v>
      </c>
      <c r="G114">
        <v>1.5669999999999999</v>
      </c>
      <c r="H114">
        <v>1.5349999999999999</v>
      </c>
    </row>
    <row r="115" spans="1:8" x14ac:dyDescent="0.4">
      <c r="A115">
        <v>16</v>
      </c>
      <c r="B115">
        <v>1.629</v>
      </c>
      <c r="C115">
        <v>1.629</v>
      </c>
      <c r="D115">
        <v>1.6080000000000001</v>
      </c>
      <c r="E115">
        <v>1.601</v>
      </c>
      <c r="F115">
        <v>1.581</v>
      </c>
      <c r="G115">
        <v>1.57</v>
      </c>
      <c r="H115">
        <v>1.5349999999999999</v>
      </c>
    </row>
    <row r="116" spans="1:8" x14ac:dyDescent="0.4">
      <c r="A116">
        <v>17</v>
      </c>
      <c r="B116">
        <v>1.629</v>
      </c>
      <c r="C116">
        <v>1.6259999999999999</v>
      </c>
      <c r="D116">
        <v>1.6080000000000001</v>
      </c>
      <c r="E116">
        <v>1.5980000000000001</v>
      </c>
      <c r="F116">
        <v>1.5780000000000001</v>
      </c>
      <c r="G116">
        <v>1.57</v>
      </c>
      <c r="H116">
        <v>1.5449999999999999</v>
      </c>
    </row>
    <row r="117" spans="1:8" x14ac:dyDescent="0.4">
      <c r="A117">
        <v>17</v>
      </c>
      <c r="B117">
        <v>1.639</v>
      </c>
      <c r="C117">
        <v>1.639</v>
      </c>
      <c r="D117">
        <v>1.5980000000000001</v>
      </c>
      <c r="E117">
        <v>1.5980000000000001</v>
      </c>
      <c r="F117">
        <v>1.5780000000000001</v>
      </c>
      <c r="G117">
        <v>1.5569999999999999</v>
      </c>
      <c r="H117">
        <v>1.5449999999999999</v>
      </c>
    </row>
    <row r="118" spans="1:8" x14ac:dyDescent="0.4">
      <c r="A118">
        <v>18</v>
      </c>
      <c r="B118">
        <v>1.629</v>
      </c>
      <c r="C118">
        <v>1.639</v>
      </c>
      <c r="D118">
        <v>1.5980000000000001</v>
      </c>
      <c r="E118">
        <v>1.591</v>
      </c>
      <c r="F118">
        <v>1.581</v>
      </c>
      <c r="G118">
        <v>1.5669999999999999</v>
      </c>
      <c r="H118">
        <v>1.5449999999999999</v>
      </c>
    </row>
    <row r="119" spans="1:8" x14ac:dyDescent="0.4">
      <c r="A119">
        <v>18</v>
      </c>
      <c r="B119">
        <v>1.6259999999999999</v>
      </c>
      <c r="C119">
        <v>1.6180000000000001</v>
      </c>
      <c r="D119">
        <v>1.6080000000000001</v>
      </c>
      <c r="E119">
        <v>1.5780000000000001</v>
      </c>
      <c r="F119">
        <v>1.581</v>
      </c>
      <c r="G119">
        <v>1.5669999999999999</v>
      </c>
      <c r="H119">
        <v>1.5449999999999999</v>
      </c>
    </row>
    <row r="120" spans="1:8" x14ac:dyDescent="0.4">
      <c r="A120">
        <v>19</v>
      </c>
      <c r="B120">
        <v>1.629</v>
      </c>
      <c r="C120">
        <v>1.6259999999999999</v>
      </c>
      <c r="D120">
        <v>1.6080000000000001</v>
      </c>
      <c r="E120">
        <v>1.5780000000000001</v>
      </c>
      <c r="F120">
        <v>1.581</v>
      </c>
      <c r="G120">
        <v>1.5669999999999999</v>
      </c>
      <c r="H120">
        <v>1.5449999999999999</v>
      </c>
    </row>
    <row r="121" spans="1:8" x14ac:dyDescent="0.4">
      <c r="A121">
        <v>19</v>
      </c>
      <c r="B121">
        <v>1.629</v>
      </c>
      <c r="C121">
        <v>1.6180000000000001</v>
      </c>
      <c r="D121">
        <v>1.611</v>
      </c>
      <c r="E121">
        <v>1.5980000000000001</v>
      </c>
      <c r="F121">
        <v>1.581</v>
      </c>
      <c r="G121">
        <v>1.5669999999999999</v>
      </c>
      <c r="H121">
        <v>1.5449999999999999</v>
      </c>
    </row>
    <row r="122" spans="1:8" x14ac:dyDescent="0.4">
      <c r="A122">
        <v>20</v>
      </c>
      <c r="B122">
        <v>1.639</v>
      </c>
      <c r="C122">
        <v>1.6180000000000001</v>
      </c>
      <c r="D122">
        <v>1.6080000000000001</v>
      </c>
      <c r="E122">
        <v>1.5980000000000001</v>
      </c>
      <c r="F122">
        <v>1.581</v>
      </c>
      <c r="G122">
        <v>1.56</v>
      </c>
      <c r="H122">
        <v>1.532</v>
      </c>
    </row>
    <row r="123" spans="1:8" x14ac:dyDescent="0.4">
      <c r="A123">
        <v>20</v>
      </c>
      <c r="B123">
        <v>1.639</v>
      </c>
      <c r="C123">
        <v>1.6180000000000001</v>
      </c>
      <c r="D123">
        <v>1.6080000000000001</v>
      </c>
      <c r="E123">
        <v>1.5980000000000001</v>
      </c>
      <c r="F123">
        <v>1.581</v>
      </c>
      <c r="G123">
        <v>1.56</v>
      </c>
      <c r="H123">
        <v>1.532</v>
      </c>
    </row>
    <row r="124" spans="1:8" x14ac:dyDescent="0.4">
      <c r="A124">
        <v>21</v>
      </c>
      <c r="B124">
        <v>1.639</v>
      </c>
      <c r="C124">
        <v>1.6180000000000001</v>
      </c>
      <c r="D124">
        <v>1.6080000000000001</v>
      </c>
      <c r="E124">
        <v>1.5880000000000001</v>
      </c>
      <c r="F124">
        <v>1.581</v>
      </c>
      <c r="G124">
        <v>1.57</v>
      </c>
      <c r="H124">
        <v>1.5549999999999999</v>
      </c>
    </row>
    <row r="125" spans="1:8" x14ac:dyDescent="0.4">
      <c r="A125">
        <v>21</v>
      </c>
      <c r="B125">
        <v>1.6259999999999999</v>
      </c>
      <c r="C125">
        <v>1.629</v>
      </c>
      <c r="D125">
        <v>1.6080000000000001</v>
      </c>
      <c r="E125">
        <v>1.5880000000000001</v>
      </c>
      <c r="F125">
        <v>1.581</v>
      </c>
      <c r="G125">
        <v>1.5669999999999999</v>
      </c>
      <c r="H125">
        <v>1.5349999999999999</v>
      </c>
    </row>
    <row r="126" spans="1:8" x14ac:dyDescent="0.4">
      <c r="A126">
        <v>22</v>
      </c>
      <c r="B126">
        <v>1.629</v>
      </c>
      <c r="C126">
        <v>1.629</v>
      </c>
      <c r="D126">
        <v>1.6080000000000001</v>
      </c>
      <c r="E126">
        <v>1.5780000000000001</v>
      </c>
      <c r="F126">
        <v>1.581</v>
      </c>
      <c r="G126">
        <v>1.5669999999999999</v>
      </c>
      <c r="H126">
        <v>1.5449999999999999</v>
      </c>
    </row>
    <row r="127" spans="1:8" x14ac:dyDescent="0.4">
      <c r="A127">
        <v>22</v>
      </c>
      <c r="B127">
        <v>1.629</v>
      </c>
      <c r="C127">
        <v>1.629</v>
      </c>
      <c r="D127">
        <v>1.6080000000000001</v>
      </c>
      <c r="E127">
        <v>1.575</v>
      </c>
      <c r="F127">
        <v>1.5780000000000001</v>
      </c>
      <c r="G127">
        <v>1.5720000000000001</v>
      </c>
      <c r="H127">
        <v>1.5449999999999999</v>
      </c>
    </row>
    <row r="128" spans="1:8" x14ac:dyDescent="0.4">
      <c r="A128">
        <v>23</v>
      </c>
      <c r="B128">
        <v>1.639</v>
      </c>
      <c r="C128">
        <v>1.629</v>
      </c>
      <c r="D128">
        <v>1.601</v>
      </c>
      <c r="E128">
        <v>1.575</v>
      </c>
      <c r="F128">
        <v>1.591</v>
      </c>
      <c r="G128">
        <v>1.5569999999999999</v>
      </c>
      <c r="H128">
        <v>1.5449999999999999</v>
      </c>
    </row>
    <row r="129" spans="1:15" x14ac:dyDescent="0.4">
      <c r="A129">
        <v>23</v>
      </c>
      <c r="B129">
        <v>1.639</v>
      </c>
      <c r="C129">
        <v>1.6180000000000001</v>
      </c>
      <c r="D129">
        <v>1.611</v>
      </c>
      <c r="E129">
        <v>1.5880000000000001</v>
      </c>
      <c r="F129">
        <v>1.581</v>
      </c>
      <c r="G129">
        <v>1.56</v>
      </c>
      <c r="H129">
        <v>1.5449999999999999</v>
      </c>
    </row>
    <row r="130" spans="1:15" x14ac:dyDescent="0.4">
      <c r="A130">
        <v>24</v>
      </c>
      <c r="B130">
        <v>1.6180000000000001</v>
      </c>
      <c r="C130">
        <v>1.631</v>
      </c>
      <c r="D130">
        <v>1.6160000000000001</v>
      </c>
      <c r="E130">
        <v>1.5880000000000001</v>
      </c>
      <c r="F130">
        <v>1.581</v>
      </c>
      <c r="G130">
        <v>1.57</v>
      </c>
      <c r="H130">
        <v>1.522</v>
      </c>
    </row>
    <row r="131" spans="1:15" x14ac:dyDescent="0.4">
      <c r="A131">
        <v>24</v>
      </c>
      <c r="B131">
        <v>1.629</v>
      </c>
      <c r="C131">
        <v>1.6180000000000001</v>
      </c>
      <c r="D131">
        <v>1.5980000000000001</v>
      </c>
      <c r="E131">
        <v>1.5880000000000001</v>
      </c>
      <c r="F131">
        <v>1.5760000000000001</v>
      </c>
      <c r="G131">
        <v>1.56</v>
      </c>
      <c r="H131">
        <v>1.548</v>
      </c>
    </row>
    <row r="132" spans="1:15" x14ac:dyDescent="0.4">
      <c r="A132">
        <v>25</v>
      </c>
      <c r="B132">
        <v>1.629</v>
      </c>
      <c r="C132">
        <v>1.6259999999999999</v>
      </c>
      <c r="D132">
        <v>1.5980000000000001</v>
      </c>
      <c r="E132">
        <v>1.5780000000000001</v>
      </c>
      <c r="F132">
        <v>1.5760000000000001</v>
      </c>
      <c r="G132">
        <v>1.57</v>
      </c>
      <c r="H132">
        <v>1.5449999999999999</v>
      </c>
    </row>
    <row r="133" spans="1:15" x14ac:dyDescent="0.4">
      <c r="A133">
        <v>25</v>
      </c>
      <c r="B133">
        <v>1.629</v>
      </c>
      <c r="C133">
        <v>1.6259999999999999</v>
      </c>
      <c r="D133">
        <v>1.6180000000000001</v>
      </c>
      <c r="E133">
        <v>1.5880000000000001</v>
      </c>
      <c r="F133">
        <v>1.5880000000000001</v>
      </c>
      <c r="G133">
        <v>1.56</v>
      </c>
      <c r="H133">
        <v>1.5349999999999999</v>
      </c>
    </row>
    <row r="134" spans="1:15" x14ac:dyDescent="0.4">
      <c r="A134">
        <v>26</v>
      </c>
      <c r="B134">
        <v>1.629</v>
      </c>
      <c r="C134">
        <v>1.6419999999999999</v>
      </c>
      <c r="D134">
        <v>1.605</v>
      </c>
      <c r="E134">
        <v>1.581</v>
      </c>
      <c r="F134">
        <v>1.581</v>
      </c>
      <c r="G134">
        <v>1.56</v>
      </c>
      <c r="H134">
        <v>1.5349999999999999</v>
      </c>
    </row>
    <row r="135" spans="1:15" x14ac:dyDescent="0.4">
      <c r="A135">
        <v>26</v>
      </c>
      <c r="B135">
        <v>1.639</v>
      </c>
      <c r="C135">
        <v>1.6180000000000001</v>
      </c>
      <c r="D135">
        <v>1.605</v>
      </c>
      <c r="E135">
        <v>1.581</v>
      </c>
      <c r="F135">
        <v>1.591</v>
      </c>
      <c r="G135">
        <v>1.5669999999999999</v>
      </c>
      <c r="H135">
        <v>1.5349999999999999</v>
      </c>
    </row>
    <row r="136" spans="1:15" x14ac:dyDescent="0.4">
      <c r="A136">
        <v>27</v>
      </c>
      <c r="B136">
        <v>1.631</v>
      </c>
      <c r="C136">
        <v>1.6180000000000001</v>
      </c>
      <c r="D136">
        <v>1.6080000000000001</v>
      </c>
      <c r="E136">
        <v>1.488</v>
      </c>
      <c r="F136">
        <v>1.5780000000000001</v>
      </c>
      <c r="G136">
        <v>1.5569999999999999</v>
      </c>
      <c r="H136">
        <v>1.5449999999999999</v>
      </c>
      <c r="L136" s="16"/>
      <c r="M136" s="16"/>
      <c r="N136" s="16"/>
      <c r="O136" s="16"/>
    </row>
    <row r="137" spans="1:15" x14ac:dyDescent="0.4">
      <c r="A137">
        <v>27</v>
      </c>
      <c r="B137">
        <v>1.629</v>
      </c>
      <c r="C137">
        <v>1.6180000000000001</v>
      </c>
      <c r="D137">
        <v>1.6080000000000001</v>
      </c>
      <c r="E137">
        <v>1.5880000000000001</v>
      </c>
      <c r="F137">
        <v>1.581</v>
      </c>
      <c r="G137">
        <v>1.5569999999999999</v>
      </c>
      <c r="H137">
        <v>1.5349999999999999</v>
      </c>
      <c r="L137" s="16"/>
      <c r="M137" s="16"/>
      <c r="N137" s="16"/>
      <c r="O137" s="16"/>
    </row>
    <row r="138" spans="1:15" x14ac:dyDescent="0.4">
      <c r="A138">
        <v>28</v>
      </c>
      <c r="B138">
        <v>1.629</v>
      </c>
      <c r="C138">
        <v>1.629</v>
      </c>
      <c r="D138">
        <v>1.5980000000000001</v>
      </c>
      <c r="E138">
        <v>1.5980000000000001</v>
      </c>
      <c r="F138">
        <v>1.581</v>
      </c>
      <c r="G138">
        <v>1.56</v>
      </c>
      <c r="H138">
        <v>1.5449999999999999</v>
      </c>
      <c r="L138" s="16"/>
      <c r="M138" s="16"/>
      <c r="N138" s="16"/>
      <c r="O138" s="16"/>
    </row>
    <row r="139" spans="1:15" x14ac:dyDescent="0.4">
      <c r="A139">
        <v>28</v>
      </c>
      <c r="B139">
        <v>1.629</v>
      </c>
      <c r="C139">
        <v>1.629</v>
      </c>
      <c r="D139">
        <v>1.5980000000000001</v>
      </c>
      <c r="E139">
        <v>1.5980000000000001</v>
      </c>
      <c r="F139">
        <v>1.581</v>
      </c>
      <c r="G139">
        <v>1.5669999999999999</v>
      </c>
      <c r="H139">
        <v>1.532</v>
      </c>
      <c r="L139" s="16"/>
      <c r="M139" s="16"/>
      <c r="N139" s="16"/>
      <c r="O139" s="16"/>
    </row>
    <row r="140" spans="1:15" x14ac:dyDescent="0.4">
      <c r="A140">
        <v>29</v>
      </c>
      <c r="B140">
        <v>1.629</v>
      </c>
      <c r="C140">
        <v>1.6180000000000001</v>
      </c>
      <c r="D140">
        <v>1.6180000000000001</v>
      </c>
      <c r="E140">
        <v>1.5980000000000001</v>
      </c>
      <c r="F140">
        <v>1.581</v>
      </c>
      <c r="G140">
        <v>1.56</v>
      </c>
      <c r="H140">
        <v>1.5449999999999999</v>
      </c>
      <c r="L140" s="16"/>
      <c r="M140" s="16"/>
      <c r="N140" s="16"/>
      <c r="O140" s="16"/>
    </row>
    <row r="141" spans="1:15" x14ac:dyDescent="0.4">
      <c r="A141">
        <v>29</v>
      </c>
      <c r="B141">
        <v>1.629</v>
      </c>
      <c r="C141">
        <v>1.629</v>
      </c>
      <c r="D141">
        <v>1.611</v>
      </c>
      <c r="E141">
        <v>1.5980000000000001</v>
      </c>
      <c r="F141">
        <v>1.581</v>
      </c>
      <c r="G141">
        <v>1.5669999999999999</v>
      </c>
      <c r="H141">
        <v>1.5449999999999999</v>
      </c>
      <c r="L141" s="16"/>
      <c r="M141" s="16"/>
      <c r="N141" s="16"/>
      <c r="O141" s="16"/>
    </row>
    <row r="142" spans="1:15" x14ac:dyDescent="0.4">
      <c r="A142">
        <v>30</v>
      </c>
      <c r="B142">
        <v>1.629</v>
      </c>
      <c r="C142">
        <v>1.6180000000000001</v>
      </c>
      <c r="D142">
        <v>1.6080000000000001</v>
      </c>
      <c r="E142">
        <v>1.575</v>
      </c>
      <c r="F142">
        <v>1.5760000000000001</v>
      </c>
      <c r="G142">
        <v>1.5669999999999999</v>
      </c>
      <c r="H142">
        <v>1.5449999999999999</v>
      </c>
      <c r="L142" s="16"/>
      <c r="M142" s="16"/>
      <c r="N142" s="16"/>
      <c r="O142" s="16"/>
    </row>
    <row r="143" spans="1:15" x14ac:dyDescent="0.4">
      <c r="A143">
        <v>30</v>
      </c>
      <c r="B143">
        <v>1.629</v>
      </c>
      <c r="C143">
        <v>1.629</v>
      </c>
      <c r="D143">
        <v>1.6080000000000001</v>
      </c>
      <c r="E143">
        <v>1.5780000000000001</v>
      </c>
      <c r="F143">
        <v>1.5780000000000001</v>
      </c>
      <c r="G143">
        <v>1.56</v>
      </c>
      <c r="H143">
        <v>1.5449999999999999</v>
      </c>
      <c r="L143" s="16"/>
      <c r="M143" s="16"/>
      <c r="N143" s="16"/>
      <c r="O143" s="16"/>
    </row>
    <row r="144" spans="1:15" x14ac:dyDescent="0.4">
      <c r="B144">
        <f>AVERAGE(B82:B143)</f>
        <v>1.6302580645161291</v>
      </c>
      <c r="C144">
        <f t="shared" ref="C144:H144" si="17">AVERAGE(C82:C143)</f>
        <v>1.6255322580645162</v>
      </c>
      <c r="D144">
        <f t="shared" si="17"/>
        <v>1.6082903225806453</v>
      </c>
      <c r="E144">
        <f t="shared" si="17"/>
        <v>1.5871451612903225</v>
      </c>
      <c r="F144">
        <f t="shared" si="17"/>
        <v>1.5812580645161298</v>
      </c>
      <c r="G144">
        <f t="shared" si="17"/>
        <v>1.5669999999999995</v>
      </c>
      <c r="H144">
        <f t="shared" si="17"/>
        <v>1.5403387096774197</v>
      </c>
      <c r="L144" s="16"/>
      <c r="M144" s="16"/>
      <c r="N144" s="16"/>
      <c r="O144" s="16"/>
    </row>
    <row r="145" spans="1:35" x14ac:dyDescent="0.4">
      <c r="L145" s="16"/>
      <c r="M145" s="16"/>
      <c r="N145" s="16"/>
      <c r="O145" s="16"/>
    </row>
    <row r="146" spans="1:35" x14ac:dyDescent="0.4">
      <c r="L146" s="16"/>
      <c r="M146" s="16"/>
      <c r="N146" s="16"/>
      <c r="O146" s="16"/>
    </row>
    <row r="147" spans="1:35" x14ac:dyDescent="0.4">
      <c r="L147" s="16"/>
      <c r="M147" s="16"/>
      <c r="N147" s="16"/>
      <c r="O147" s="16"/>
    </row>
    <row r="148" spans="1:35" x14ac:dyDescent="0.4">
      <c r="L148" s="16"/>
      <c r="M148" s="16"/>
      <c r="N148" s="16"/>
      <c r="O148" s="16"/>
    </row>
    <row r="149" spans="1:35" x14ac:dyDescent="0.4">
      <c r="L149" s="16"/>
      <c r="M149" s="16"/>
      <c r="N149" s="16"/>
      <c r="O149" s="16"/>
    </row>
    <row r="150" spans="1:35" x14ac:dyDescent="0.4">
      <c r="A150" t="s">
        <v>325</v>
      </c>
      <c r="L150" s="16"/>
      <c r="M150" s="16"/>
      <c r="N150" s="16"/>
      <c r="O150" s="16"/>
    </row>
    <row r="151" spans="1:35" x14ac:dyDescent="0.4">
      <c r="A151" s="16" t="s">
        <v>324</v>
      </c>
      <c r="B151" s="16" t="s">
        <v>267</v>
      </c>
      <c r="C151" s="16" t="s">
        <v>268</v>
      </c>
      <c r="D151" s="16" t="s">
        <v>269</v>
      </c>
      <c r="E151" s="16" t="s">
        <v>270</v>
      </c>
      <c r="F151" s="16" t="s">
        <v>271</v>
      </c>
      <c r="G151" s="16" t="s">
        <v>272</v>
      </c>
      <c r="H151" s="16" t="s">
        <v>273</v>
      </c>
      <c r="J151" t="s">
        <v>332</v>
      </c>
      <c r="K151" s="16" t="s">
        <v>267</v>
      </c>
      <c r="L151" s="16" t="s">
        <v>268</v>
      </c>
      <c r="M151" s="16" t="s">
        <v>269</v>
      </c>
      <c r="N151" s="16" t="s">
        <v>270</v>
      </c>
      <c r="O151" s="16" t="s">
        <v>271</v>
      </c>
      <c r="P151" s="16" t="s">
        <v>272</v>
      </c>
      <c r="Q151" s="16" t="s">
        <v>273</v>
      </c>
      <c r="S151" s="16" t="s">
        <v>333</v>
      </c>
      <c r="T151" s="16" t="s">
        <v>267</v>
      </c>
      <c r="U151" s="16" t="s">
        <v>268</v>
      </c>
      <c r="V151" s="16" t="s">
        <v>269</v>
      </c>
      <c r="W151" s="16" t="s">
        <v>270</v>
      </c>
      <c r="X151" s="16" t="s">
        <v>271</v>
      </c>
      <c r="Y151" s="16" t="s">
        <v>272</v>
      </c>
      <c r="Z151" s="16" t="s">
        <v>273</v>
      </c>
      <c r="AB151" s="16" t="s">
        <v>334</v>
      </c>
      <c r="AC151" s="16" t="s">
        <v>267</v>
      </c>
      <c r="AD151" s="16" t="s">
        <v>268</v>
      </c>
      <c r="AE151" s="16" t="s">
        <v>269</v>
      </c>
      <c r="AF151" s="16" t="s">
        <v>270</v>
      </c>
      <c r="AG151" s="16" t="s">
        <v>271</v>
      </c>
      <c r="AH151" s="16" t="s">
        <v>272</v>
      </c>
      <c r="AI151" s="16" t="s">
        <v>273</v>
      </c>
    </row>
    <row r="152" spans="1:35" x14ac:dyDescent="0.4">
      <c r="A152" s="16">
        <v>0</v>
      </c>
      <c r="B152">
        <v>1.631</v>
      </c>
      <c r="C152">
        <v>1.621</v>
      </c>
      <c r="D152">
        <v>1.591</v>
      </c>
      <c r="E152">
        <v>1.5760000000000001</v>
      </c>
      <c r="F152">
        <v>1.5680000000000001</v>
      </c>
      <c r="G152">
        <v>1.538</v>
      </c>
      <c r="H152">
        <v>1.5149999999999999</v>
      </c>
      <c r="J152" s="16">
        <v>0</v>
      </c>
      <c r="K152">
        <v>1.7509999999999999</v>
      </c>
      <c r="L152" s="16">
        <v>1.718</v>
      </c>
      <c r="M152" s="16">
        <v>1.6919999999999999</v>
      </c>
      <c r="N152" s="16">
        <v>1.6719999999999999</v>
      </c>
      <c r="O152" s="16">
        <v>1.6419999999999999</v>
      </c>
      <c r="P152">
        <v>1.621</v>
      </c>
      <c r="Q152">
        <v>1.5580000000000001</v>
      </c>
      <c r="S152" s="16">
        <v>0</v>
      </c>
      <c r="T152">
        <v>1.55</v>
      </c>
      <c r="U152">
        <v>1.5469999999999999</v>
      </c>
      <c r="V152">
        <v>1.5289999999999999</v>
      </c>
      <c r="W152">
        <v>1.5269999999999999</v>
      </c>
      <c r="X152">
        <v>1.5089999999999999</v>
      </c>
      <c r="Y152">
        <v>1.4990000000000001</v>
      </c>
      <c r="Z152">
        <v>1.4990000000000001</v>
      </c>
      <c r="AB152" s="16">
        <v>0</v>
      </c>
      <c r="AC152">
        <v>1.6160000000000001</v>
      </c>
      <c r="AD152">
        <v>1.6040000000000001</v>
      </c>
      <c r="AE152">
        <v>1.6040000000000001</v>
      </c>
      <c r="AF152">
        <v>1.581</v>
      </c>
      <c r="AG152">
        <v>1.5649999999999999</v>
      </c>
      <c r="AH152">
        <v>1.5549999999999999</v>
      </c>
      <c r="AI152">
        <v>1.504</v>
      </c>
    </row>
    <row r="153" spans="1:35" x14ac:dyDescent="0.4">
      <c r="A153" s="16">
        <v>0</v>
      </c>
      <c r="B153">
        <v>1.631</v>
      </c>
      <c r="C153">
        <v>1.621</v>
      </c>
      <c r="D153">
        <v>1.6040000000000001</v>
      </c>
      <c r="E153">
        <v>1.583</v>
      </c>
      <c r="F153">
        <v>1.5649999999999999</v>
      </c>
      <c r="G153">
        <v>1.538</v>
      </c>
      <c r="H153">
        <v>1.5780000000000001</v>
      </c>
      <c r="J153" s="16">
        <v>0</v>
      </c>
      <c r="K153">
        <v>1.738</v>
      </c>
      <c r="L153" s="16">
        <v>1.7210000000000001</v>
      </c>
      <c r="M153" s="16">
        <v>1.6919999999999999</v>
      </c>
      <c r="N153" s="16">
        <v>1.6719999999999999</v>
      </c>
      <c r="O153" s="16">
        <v>1.645</v>
      </c>
      <c r="P153">
        <v>1.621</v>
      </c>
      <c r="Q153">
        <v>1.5580000000000001</v>
      </c>
      <c r="S153" s="16">
        <v>0</v>
      </c>
      <c r="T153">
        <v>1.55</v>
      </c>
      <c r="U153">
        <v>1.54</v>
      </c>
      <c r="V153">
        <v>1.54</v>
      </c>
      <c r="W153">
        <v>1.5369999999999999</v>
      </c>
      <c r="X153">
        <v>1.5089999999999999</v>
      </c>
      <c r="Y153">
        <v>1.5089999999999999</v>
      </c>
      <c r="Z153">
        <v>1.504</v>
      </c>
      <c r="AB153" s="16">
        <v>0</v>
      </c>
      <c r="AC153">
        <v>1.6160000000000001</v>
      </c>
      <c r="AD153">
        <v>1.6040000000000001</v>
      </c>
      <c r="AE153">
        <v>1.5940000000000001</v>
      </c>
      <c r="AF153">
        <v>1.5760000000000001</v>
      </c>
      <c r="AG153">
        <v>1.5649999999999999</v>
      </c>
      <c r="AH153">
        <v>1.548</v>
      </c>
      <c r="AI153">
        <v>1.5069999999999999</v>
      </c>
    </row>
    <row r="154" spans="1:35" x14ac:dyDescent="0.4">
      <c r="A154" s="16">
        <v>1</v>
      </c>
      <c r="B154">
        <v>1.631</v>
      </c>
      <c r="C154">
        <v>1.6140000000000001</v>
      </c>
      <c r="D154">
        <v>1.5940000000000001</v>
      </c>
      <c r="E154">
        <v>1.581</v>
      </c>
      <c r="F154">
        <v>1.5680000000000001</v>
      </c>
      <c r="G154">
        <v>1.5580000000000001</v>
      </c>
      <c r="H154">
        <v>1.52</v>
      </c>
      <c r="J154" s="16">
        <v>1</v>
      </c>
      <c r="K154">
        <v>1.748</v>
      </c>
      <c r="L154" s="16">
        <v>1.7210000000000001</v>
      </c>
      <c r="M154" s="16">
        <v>1.698</v>
      </c>
      <c r="N154" s="16">
        <v>1.6719999999999999</v>
      </c>
      <c r="O154" s="16">
        <v>1.645</v>
      </c>
      <c r="P154">
        <v>1.621</v>
      </c>
      <c r="Q154">
        <v>1.5580000000000001</v>
      </c>
      <c r="S154" s="16">
        <v>1</v>
      </c>
      <c r="T154">
        <v>1.55</v>
      </c>
      <c r="U154">
        <v>1.54</v>
      </c>
      <c r="V154">
        <v>1.54</v>
      </c>
      <c r="W154">
        <v>1.5269999999999999</v>
      </c>
      <c r="X154">
        <v>1.506</v>
      </c>
      <c r="Y154">
        <v>1.5189999999999999</v>
      </c>
      <c r="Z154">
        <v>1.4990000000000001</v>
      </c>
      <c r="AB154" s="16">
        <v>1</v>
      </c>
      <c r="AC154">
        <v>1.6160000000000001</v>
      </c>
      <c r="AD154">
        <v>1.5940000000000001</v>
      </c>
      <c r="AE154">
        <v>1.581</v>
      </c>
      <c r="AF154">
        <v>1.5760000000000001</v>
      </c>
      <c r="AG154">
        <v>1.573</v>
      </c>
      <c r="AH154">
        <v>1.548</v>
      </c>
      <c r="AI154">
        <v>1.5249999999999999</v>
      </c>
    </row>
    <row r="155" spans="1:35" x14ac:dyDescent="0.4">
      <c r="A155" s="16">
        <v>1</v>
      </c>
      <c r="B155">
        <v>1.6240000000000001</v>
      </c>
      <c r="C155">
        <v>1.645</v>
      </c>
      <c r="D155">
        <v>1.583</v>
      </c>
      <c r="E155">
        <v>1.581</v>
      </c>
      <c r="F155">
        <v>1.5580000000000001</v>
      </c>
      <c r="G155">
        <v>1.548</v>
      </c>
      <c r="H155">
        <v>1.5269999999999999</v>
      </c>
      <c r="J155" s="16">
        <v>1</v>
      </c>
      <c r="K155">
        <v>1.7589999999999999</v>
      </c>
      <c r="L155" s="16">
        <v>1.7110000000000001</v>
      </c>
      <c r="M155" s="16">
        <v>1.698</v>
      </c>
      <c r="N155" s="16">
        <v>1.6619999999999999</v>
      </c>
      <c r="O155" s="16">
        <v>1.6419999999999999</v>
      </c>
      <c r="P155">
        <v>1.621</v>
      </c>
      <c r="Q155">
        <v>1.5580000000000001</v>
      </c>
      <c r="S155" s="16">
        <v>1</v>
      </c>
      <c r="T155">
        <v>1.56</v>
      </c>
      <c r="U155">
        <v>1.54</v>
      </c>
      <c r="V155">
        <v>1.54</v>
      </c>
      <c r="W155">
        <v>1.5269999999999999</v>
      </c>
      <c r="X155">
        <v>1.506</v>
      </c>
      <c r="Y155">
        <v>1.5089999999999999</v>
      </c>
      <c r="Z155">
        <v>1.486</v>
      </c>
      <c r="AB155" s="16">
        <v>1</v>
      </c>
      <c r="AC155">
        <v>1.6259999999999999</v>
      </c>
      <c r="AD155">
        <v>1.583</v>
      </c>
      <c r="AE155">
        <v>1.583</v>
      </c>
      <c r="AF155">
        <v>1.5760000000000001</v>
      </c>
      <c r="AG155">
        <v>1.5580000000000001</v>
      </c>
      <c r="AH155">
        <v>1.5449999999999999</v>
      </c>
      <c r="AI155">
        <v>1.5249999999999999</v>
      </c>
    </row>
    <row r="156" spans="1:35" x14ac:dyDescent="0.4">
      <c r="A156" s="16">
        <v>2</v>
      </c>
      <c r="B156">
        <v>1.631</v>
      </c>
      <c r="C156">
        <v>1.611</v>
      </c>
      <c r="D156">
        <v>1.583</v>
      </c>
      <c r="E156">
        <v>1.583</v>
      </c>
      <c r="F156">
        <v>1.5680000000000001</v>
      </c>
      <c r="G156">
        <v>1.5580000000000001</v>
      </c>
      <c r="H156">
        <v>1.5269999999999999</v>
      </c>
      <c r="J156" s="16">
        <v>2</v>
      </c>
      <c r="K156">
        <v>1.7589999999999999</v>
      </c>
      <c r="L156" s="16">
        <v>1.7210000000000001</v>
      </c>
      <c r="M156" s="16">
        <v>1.698</v>
      </c>
      <c r="N156" s="16">
        <v>1.6850000000000001</v>
      </c>
      <c r="O156" s="16">
        <v>1.631</v>
      </c>
      <c r="P156">
        <v>1.621</v>
      </c>
      <c r="Q156">
        <v>1.5549999999999999</v>
      </c>
      <c r="S156" s="16">
        <v>2</v>
      </c>
      <c r="T156">
        <v>1.55</v>
      </c>
      <c r="U156">
        <v>1.55</v>
      </c>
      <c r="V156">
        <v>1.54</v>
      </c>
      <c r="W156">
        <v>1.5169999999999999</v>
      </c>
      <c r="X156">
        <v>1.5169999999999999</v>
      </c>
      <c r="Y156">
        <v>1.5089999999999999</v>
      </c>
      <c r="Z156">
        <v>1.502</v>
      </c>
      <c r="AB156" s="16">
        <v>2</v>
      </c>
      <c r="AC156">
        <v>1.6259999999999999</v>
      </c>
      <c r="AD156">
        <v>1.5860000000000001</v>
      </c>
      <c r="AE156">
        <v>1.583</v>
      </c>
      <c r="AF156">
        <v>1.5760000000000001</v>
      </c>
      <c r="AG156">
        <v>1.5580000000000001</v>
      </c>
      <c r="AH156">
        <v>1.5449999999999999</v>
      </c>
      <c r="AI156">
        <v>1.5149999999999999</v>
      </c>
    </row>
    <row r="157" spans="1:35" x14ac:dyDescent="0.4">
      <c r="A157" s="16">
        <v>2</v>
      </c>
      <c r="B157">
        <v>1.621</v>
      </c>
      <c r="C157">
        <v>1.611</v>
      </c>
      <c r="D157">
        <v>1.5940000000000001</v>
      </c>
      <c r="E157">
        <v>1.5780000000000001</v>
      </c>
      <c r="F157">
        <v>1.5680000000000001</v>
      </c>
      <c r="G157">
        <v>1.538</v>
      </c>
      <c r="H157">
        <v>1.52</v>
      </c>
      <c r="J157" s="16">
        <v>2</v>
      </c>
      <c r="K157">
        <v>1.7589999999999999</v>
      </c>
      <c r="L157" s="16">
        <v>1.728</v>
      </c>
      <c r="M157" s="16">
        <v>1.7010000000000001</v>
      </c>
      <c r="N157" s="16">
        <v>1.6719999999999999</v>
      </c>
      <c r="O157" s="16">
        <v>1.645</v>
      </c>
      <c r="P157">
        <v>1.621</v>
      </c>
      <c r="Q157">
        <v>1.5580000000000001</v>
      </c>
      <c r="S157" s="16">
        <v>2</v>
      </c>
      <c r="T157">
        <v>1.56</v>
      </c>
      <c r="U157">
        <v>1.55</v>
      </c>
      <c r="V157">
        <v>1.5289999999999999</v>
      </c>
      <c r="W157">
        <v>1.5269999999999999</v>
      </c>
      <c r="X157">
        <v>1.5189999999999999</v>
      </c>
      <c r="Y157">
        <v>1.5089999999999999</v>
      </c>
      <c r="Z157">
        <v>1.502</v>
      </c>
      <c r="AB157" s="16">
        <v>2</v>
      </c>
      <c r="AC157">
        <v>1.6259999999999999</v>
      </c>
      <c r="AD157">
        <v>1.5940000000000001</v>
      </c>
      <c r="AE157">
        <v>1.591</v>
      </c>
      <c r="AF157">
        <v>1.581</v>
      </c>
      <c r="AG157">
        <v>1.5629999999999999</v>
      </c>
      <c r="AH157">
        <v>1.5549999999999999</v>
      </c>
      <c r="AI157">
        <v>1.5149999999999999</v>
      </c>
    </row>
    <row r="158" spans="1:35" x14ac:dyDescent="0.4">
      <c r="A158" s="16">
        <v>3</v>
      </c>
      <c r="B158">
        <v>1.621</v>
      </c>
      <c r="C158">
        <v>1.6240000000000001</v>
      </c>
      <c r="D158">
        <v>1.5940000000000001</v>
      </c>
      <c r="E158">
        <v>1.583</v>
      </c>
      <c r="F158">
        <v>1.5680000000000001</v>
      </c>
      <c r="G158">
        <v>1.548</v>
      </c>
      <c r="H158">
        <v>1.52</v>
      </c>
      <c r="J158" s="16">
        <v>3</v>
      </c>
      <c r="K158">
        <v>1.7509999999999999</v>
      </c>
      <c r="L158" s="16">
        <v>1.7210000000000001</v>
      </c>
      <c r="M158" s="16">
        <v>1.708</v>
      </c>
      <c r="N158" s="16">
        <v>1.6719999999999999</v>
      </c>
      <c r="O158" s="16">
        <v>1.6419999999999999</v>
      </c>
      <c r="P158">
        <v>1.621</v>
      </c>
      <c r="Q158">
        <v>1.5549999999999999</v>
      </c>
      <c r="S158" s="16">
        <v>3</v>
      </c>
      <c r="T158">
        <v>1.56</v>
      </c>
      <c r="U158">
        <v>1.54</v>
      </c>
      <c r="V158">
        <v>1.5289999999999999</v>
      </c>
      <c r="W158">
        <v>1.5269999999999999</v>
      </c>
      <c r="X158">
        <v>1.5189999999999999</v>
      </c>
      <c r="Y158">
        <v>1.5089999999999999</v>
      </c>
      <c r="Z158">
        <v>1.4890000000000001</v>
      </c>
      <c r="AB158" s="16">
        <v>3</v>
      </c>
      <c r="AC158">
        <v>1.613</v>
      </c>
      <c r="AD158">
        <v>1.6040000000000001</v>
      </c>
      <c r="AE158">
        <v>1.581</v>
      </c>
      <c r="AF158">
        <v>1.583</v>
      </c>
      <c r="AG158">
        <v>1.5649999999999999</v>
      </c>
      <c r="AH158">
        <v>1.5549999999999999</v>
      </c>
      <c r="AI158">
        <v>1.5149999999999999</v>
      </c>
    </row>
    <row r="159" spans="1:35" x14ac:dyDescent="0.4">
      <c r="A159" s="16">
        <v>3</v>
      </c>
      <c r="B159">
        <v>1.6339999999999999</v>
      </c>
      <c r="C159">
        <v>1.6240000000000001</v>
      </c>
      <c r="D159">
        <v>1.583</v>
      </c>
      <c r="E159">
        <v>1.583</v>
      </c>
      <c r="F159">
        <v>1.5609999999999999</v>
      </c>
      <c r="G159">
        <v>1.548</v>
      </c>
      <c r="H159">
        <v>1.52</v>
      </c>
      <c r="J159" s="16">
        <v>3</v>
      </c>
      <c r="K159">
        <v>1.7509999999999999</v>
      </c>
      <c r="L159" s="16">
        <v>1.7210000000000001</v>
      </c>
      <c r="M159" s="16">
        <v>1.708</v>
      </c>
      <c r="N159" s="16">
        <v>1.6619999999999999</v>
      </c>
      <c r="O159" s="16">
        <v>1.6419999999999999</v>
      </c>
      <c r="P159">
        <v>1.621</v>
      </c>
      <c r="Q159">
        <v>1.5580000000000001</v>
      </c>
      <c r="S159" s="16">
        <v>3</v>
      </c>
      <c r="T159">
        <v>1.55</v>
      </c>
      <c r="U159">
        <v>1.54</v>
      </c>
      <c r="V159">
        <v>1.54</v>
      </c>
      <c r="W159">
        <v>1.5169999999999999</v>
      </c>
      <c r="X159">
        <v>1.5189999999999999</v>
      </c>
      <c r="Y159">
        <v>1.5189999999999999</v>
      </c>
      <c r="Z159">
        <v>1.4890000000000001</v>
      </c>
      <c r="AB159" s="16">
        <v>3</v>
      </c>
      <c r="AC159">
        <v>1.6259999999999999</v>
      </c>
      <c r="AD159">
        <v>1.5940000000000001</v>
      </c>
      <c r="AE159">
        <v>1.5780000000000001</v>
      </c>
      <c r="AF159">
        <v>1.5760000000000001</v>
      </c>
      <c r="AG159">
        <v>1.5629999999999999</v>
      </c>
      <c r="AH159">
        <v>1.542</v>
      </c>
      <c r="AI159">
        <v>1.5149999999999999</v>
      </c>
    </row>
    <row r="160" spans="1:35" x14ac:dyDescent="0.4">
      <c r="A160" s="16">
        <v>4</v>
      </c>
      <c r="B160">
        <v>1.6240000000000001</v>
      </c>
      <c r="C160">
        <v>1.6140000000000001</v>
      </c>
      <c r="D160">
        <v>1.5940000000000001</v>
      </c>
      <c r="E160">
        <v>1.5780000000000001</v>
      </c>
      <c r="F160">
        <v>1.5649999999999999</v>
      </c>
      <c r="G160">
        <v>1.548</v>
      </c>
      <c r="H160">
        <v>1.5169999999999999</v>
      </c>
      <c r="J160" s="16">
        <v>4</v>
      </c>
      <c r="K160">
        <v>1.7509999999999999</v>
      </c>
      <c r="L160" s="16">
        <v>1.7210000000000001</v>
      </c>
      <c r="M160" s="16">
        <v>1.7010000000000001</v>
      </c>
      <c r="N160" s="16">
        <v>1.6719999999999999</v>
      </c>
      <c r="O160" s="16">
        <v>1.6419999999999999</v>
      </c>
      <c r="P160">
        <v>1.6419999999999999</v>
      </c>
      <c r="Q160">
        <v>1.5580000000000001</v>
      </c>
      <c r="S160" s="16">
        <v>4</v>
      </c>
      <c r="T160">
        <v>1.55</v>
      </c>
      <c r="U160">
        <v>1.54</v>
      </c>
      <c r="V160">
        <v>1.54</v>
      </c>
      <c r="W160">
        <v>1.5169999999999999</v>
      </c>
      <c r="X160">
        <v>1.5169999999999999</v>
      </c>
      <c r="Y160">
        <v>1.5189999999999999</v>
      </c>
      <c r="Z160">
        <v>1.4990000000000001</v>
      </c>
      <c r="AB160" s="16">
        <v>4</v>
      </c>
      <c r="AC160">
        <v>1.605</v>
      </c>
      <c r="AD160">
        <v>1.5940000000000001</v>
      </c>
      <c r="AE160">
        <v>1.591</v>
      </c>
      <c r="AF160">
        <v>1.5760000000000001</v>
      </c>
      <c r="AG160">
        <v>1.5629999999999999</v>
      </c>
      <c r="AH160">
        <v>1.5549999999999999</v>
      </c>
      <c r="AI160">
        <v>1.5169999999999999</v>
      </c>
    </row>
    <row r="161" spans="1:35" x14ac:dyDescent="0.4">
      <c r="A161" s="16">
        <v>4</v>
      </c>
      <c r="B161">
        <v>1.6240000000000001</v>
      </c>
      <c r="C161">
        <v>1.611</v>
      </c>
      <c r="D161">
        <v>1.581</v>
      </c>
      <c r="E161">
        <v>1.5780000000000001</v>
      </c>
      <c r="F161">
        <v>1.5649999999999999</v>
      </c>
      <c r="G161">
        <v>1.5449999999999999</v>
      </c>
      <c r="H161">
        <v>1.5269999999999999</v>
      </c>
      <c r="J161" s="16">
        <v>4</v>
      </c>
      <c r="K161">
        <v>1.7509999999999999</v>
      </c>
      <c r="L161" s="16">
        <v>1.7210000000000001</v>
      </c>
      <c r="M161" s="16">
        <v>1.708</v>
      </c>
      <c r="N161" s="16">
        <v>1.6719999999999999</v>
      </c>
      <c r="O161" s="16">
        <v>1.6419999999999999</v>
      </c>
      <c r="P161">
        <v>1.6140000000000001</v>
      </c>
      <c r="Q161">
        <v>1.548</v>
      </c>
      <c r="S161" s="16">
        <v>4</v>
      </c>
      <c r="T161">
        <v>1.56</v>
      </c>
      <c r="U161">
        <v>1.55</v>
      </c>
      <c r="V161">
        <v>1.5269999999999999</v>
      </c>
      <c r="W161">
        <v>1.5289999999999999</v>
      </c>
      <c r="X161">
        <v>1.5189999999999999</v>
      </c>
      <c r="Y161">
        <v>1.506</v>
      </c>
      <c r="Z161">
        <v>1.4990000000000001</v>
      </c>
      <c r="AB161" s="16">
        <v>4</v>
      </c>
      <c r="AC161">
        <v>1.6259999999999999</v>
      </c>
      <c r="AD161">
        <v>1.581</v>
      </c>
      <c r="AE161">
        <v>1.581</v>
      </c>
      <c r="AF161">
        <v>1.5760000000000001</v>
      </c>
      <c r="AG161">
        <v>1.5680000000000001</v>
      </c>
      <c r="AH161">
        <v>1.542</v>
      </c>
      <c r="AI161">
        <v>1.5169999999999999</v>
      </c>
    </row>
    <row r="162" spans="1:35" x14ac:dyDescent="0.4">
      <c r="A162" s="16">
        <v>5</v>
      </c>
      <c r="B162">
        <v>1.6339999999999999</v>
      </c>
      <c r="C162">
        <v>1.611</v>
      </c>
      <c r="D162">
        <v>1.5960000000000001</v>
      </c>
      <c r="E162">
        <v>1.5760000000000001</v>
      </c>
      <c r="F162">
        <v>1.5680000000000001</v>
      </c>
      <c r="G162">
        <v>1.54</v>
      </c>
      <c r="H162">
        <v>1.52</v>
      </c>
      <c r="J162" s="16">
        <v>5</v>
      </c>
      <c r="K162">
        <v>1.748</v>
      </c>
      <c r="L162" s="16">
        <v>1.7210000000000001</v>
      </c>
      <c r="M162" s="16">
        <v>1.7010000000000001</v>
      </c>
      <c r="N162" s="16">
        <v>1.6850000000000001</v>
      </c>
      <c r="O162" s="16">
        <v>1.645</v>
      </c>
      <c r="P162">
        <v>1.621</v>
      </c>
      <c r="Q162">
        <v>1.548</v>
      </c>
      <c r="S162" s="16">
        <v>5</v>
      </c>
      <c r="T162">
        <v>1.55</v>
      </c>
      <c r="U162">
        <v>1.54</v>
      </c>
      <c r="V162">
        <v>1.54</v>
      </c>
      <c r="W162">
        <v>1.5269999999999999</v>
      </c>
      <c r="X162">
        <v>1.5169999999999999</v>
      </c>
      <c r="Y162">
        <v>1.5089999999999999</v>
      </c>
      <c r="Z162">
        <v>1.4990000000000001</v>
      </c>
      <c r="AB162" s="16">
        <v>5</v>
      </c>
      <c r="AC162">
        <v>1.605</v>
      </c>
      <c r="AD162">
        <v>1.583</v>
      </c>
      <c r="AE162">
        <v>1.581</v>
      </c>
      <c r="AF162">
        <v>1.573</v>
      </c>
      <c r="AG162">
        <v>1.5580000000000001</v>
      </c>
      <c r="AH162">
        <v>1.542</v>
      </c>
      <c r="AI162">
        <v>1.5269999999999999</v>
      </c>
    </row>
    <row r="163" spans="1:35" x14ac:dyDescent="0.4">
      <c r="A163" s="16">
        <v>5</v>
      </c>
      <c r="B163">
        <v>1.6240000000000001</v>
      </c>
      <c r="C163">
        <v>1.621</v>
      </c>
      <c r="D163">
        <v>1.5940000000000001</v>
      </c>
      <c r="E163">
        <v>1.5860000000000001</v>
      </c>
      <c r="F163">
        <v>1.5580000000000001</v>
      </c>
      <c r="G163">
        <v>1.538</v>
      </c>
      <c r="H163">
        <v>1.5169999999999999</v>
      </c>
      <c r="J163" s="16">
        <v>5</v>
      </c>
      <c r="K163">
        <v>1.748</v>
      </c>
      <c r="L163" s="16">
        <v>1.718</v>
      </c>
      <c r="M163" s="16">
        <v>1.7010000000000001</v>
      </c>
      <c r="N163" s="16">
        <v>1.6719999999999999</v>
      </c>
      <c r="O163" s="16">
        <v>1.645</v>
      </c>
      <c r="P163">
        <v>1.621</v>
      </c>
      <c r="Q163">
        <v>1.548</v>
      </c>
      <c r="S163" s="16">
        <v>5</v>
      </c>
      <c r="T163">
        <v>1.55</v>
      </c>
      <c r="U163">
        <v>1.5469999999999999</v>
      </c>
      <c r="V163">
        <v>1.5289999999999999</v>
      </c>
      <c r="W163">
        <v>1.5269999999999999</v>
      </c>
      <c r="X163">
        <v>1.5089999999999999</v>
      </c>
      <c r="Y163">
        <v>1.5189999999999999</v>
      </c>
      <c r="Z163">
        <v>1.4990000000000001</v>
      </c>
      <c r="AB163" s="16">
        <v>5</v>
      </c>
      <c r="AC163">
        <v>1.6259999999999999</v>
      </c>
      <c r="AD163">
        <v>1.583</v>
      </c>
      <c r="AE163">
        <v>1.583</v>
      </c>
      <c r="AF163">
        <v>1.5760000000000001</v>
      </c>
      <c r="AG163">
        <v>1.5549999999999999</v>
      </c>
      <c r="AH163">
        <v>1.5449999999999999</v>
      </c>
      <c r="AI163">
        <v>1.504</v>
      </c>
    </row>
    <row r="164" spans="1:35" x14ac:dyDescent="0.4">
      <c r="A164" s="16">
        <v>6</v>
      </c>
      <c r="B164">
        <v>1.6240000000000001</v>
      </c>
      <c r="C164">
        <v>1.6240000000000001</v>
      </c>
      <c r="D164">
        <v>1.5940000000000001</v>
      </c>
      <c r="E164">
        <v>1.583</v>
      </c>
      <c r="F164">
        <v>1.5580000000000001</v>
      </c>
      <c r="G164">
        <v>1.538</v>
      </c>
      <c r="H164">
        <v>1.5169999999999999</v>
      </c>
      <c r="J164" s="16">
        <v>6</v>
      </c>
      <c r="K164">
        <v>1.7589999999999999</v>
      </c>
      <c r="L164" s="16">
        <v>1.718</v>
      </c>
      <c r="M164" s="16">
        <v>1.7010000000000001</v>
      </c>
      <c r="N164" s="16">
        <v>1.6719999999999999</v>
      </c>
      <c r="O164" s="16">
        <v>1.645</v>
      </c>
      <c r="P164">
        <v>1.611</v>
      </c>
      <c r="Q164">
        <v>1.5580000000000001</v>
      </c>
      <c r="S164" s="16">
        <v>6</v>
      </c>
      <c r="T164">
        <v>1.55</v>
      </c>
      <c r="U164">
        <v>1.55</v>
      </c>
      <c r="V164">
        <v>1.5289999999999999</v>
      </c>
      <c r="W164">
        <v>1.5189999999999999</v>
      </c>
      <c r="X164">
        <v>1.5189999999999999</v>
      </c>
      <c r="Y164">
        <v>1.5189999999999999</v>
      </c>
      <c r="Z164">
        <v>1.4890000000000001</v>
      </c>
      <c r="AB164" s="16">
        <v>6</v>
      </c>
      <c r="AC164">
        <v>1.6160000000000001</v>
      </c>
      <c r="AD164">
        <v>1.6040000000000001</v>
      </c>
      <c r="AE164">
        <v>1.581</v>
      </c>
      <c r="AF164">
        <v>1.5760000000000001</v>
      </c>
      <c r="AG164">
        <v>1.5680000000000001</v>
      </c>
      <c r="AH164">
        <v>1.5449999999999999</v>
      </c>
      <c r="AI164">
        <v>1.504</v>
      </c>
    </row>
    <row r="165" spans="1:35" x14ac:dyDescent="0.4">
      <c r="A165" s="16">
        <v>6</v>
      </c>
      <c r="B165">
        <v>1.6240000000000001</v>
      </c>
      <c r="C165">
        <v>1.6140000000000001</v>
      </c>
      <c r="D165">
        <v>1.6040000000000001</v>
      </c>
      <c r="E165">
        <v>1.5780000000000001</v>
      </c>
      <c r="F165">
        <v>1.5580000000000001</v>
      </c>
      <c r="G165">
        <v>1.5449999999999999</v>
      </c>
      <c r="H165">
        <v>1.5169999999999999</v>
      </c>
      <c r="J165" s="16">
        <v>6</v>
      </c>
      <c r="K165">
        <v>1.7589999999999999</v>
      </c>
      <c r="L165" s="16">
        <v>1.7310000000000001</v>
      </c>
      <c r="M165" s="16">
        <v>1.708</v>
      </c>
      <c r="N165" s="16">
        <v>1.6719999999999999</v>
      </c>
      <c r="O165" s="16">
        <v>1.645</v>
      </c>
      <c r="P165">
        <v>1.611</v>
      </c>
      <c r="Q165">
        <v>1.5649999999999999</v>
      </c>
      <c r="S165" s="16">
        <v>6</v>
      </c>
      <c r="T165">
        <v>1.56</v>
      </c>
      <c r="U165">
        <v>1.55</v>
      </c>
      <c r="V165">
        <v>1.5289999999999999</v>
      </c>
      <c r="W165">
        <v>1.5189999999999999</v>
      </c>
      <c r="X165">
        <v>1.5169999999999999</v>
      </c>
      <c r="Y165">
        <v>1.5189999999999999</v>
      </c>
      <c r="Z165">
        <v>1.4890000000000001</v>
      </c>
      <c r="AB165" s="16">
        <v>6</v>
      </c>
      <c r="AC165">
        <v>1.6160000000000001</v>
      </c>
      <c r="AD165">
        <v>1.6040000000000001</v>
      </c>
      <c r="AE165">
        <v>1.581</v>
      </c>
      <c r="AF165">
        <v>1.5780000000000001</v>
      </c>
      <c r="AG165">
        <v>1.5649999999999999</v>
      </c>
      <c r="AH165">
        <v>1.5449999999999999</v>
      </c>
      <c r="AI165">
        <v>1.5149999999999999</v>
      </c>
    </row>
    <row r="166" spans="1:35" x14ac:dyDescent="0.4">
      <c r="A166" s="16">
        <v>7</v>
      </c>
      <c r="B166">
        <v>1.6240000000000001</v>
      </c>
      <c r="C166">
        <v>1.611</v>
      </c>
      <c r="D166">
        <v>1.583</v>
      </c>
      <c r="E166">
        <v>1.583</v>
      </c>
      <c r="F166">
        <v>1.5680000000000001</v>
      </c>
      <c r="G166">
        <v>1.5349999999999999</v>
      </c>
      <c r="H166">
        <v>1.52</v>
      </c>
      <c r="I166" s="16"/>
      <c r="J166" s="16">
        <v>7</v>
      </c>
      <c r="K166" s="16">
        <v>1.7589999999999999</v>
      </c>
      <c r="L166" s="16">
        <v>1.718</v>
      </c>
      <c r="M166" s="16">
        <v>1.708</v>
      </c>
      <c r="N166" s="16">
        <v>1.6719999999999999</v>
      </c>
      <c r="O166" s="16">
        <v>1.645</v>
      </c>
      <c r="P166">
        <v>1.6080000000000001</v>
      </c>
      <c r="Q166">
        <v>1.5649999999999999</v>
      </c>
      <c r="S166" s="16">
        <v>7</v>
      </c>
      <c r="T166">
        <v>1.55</v>
      </c>
      <c r="U166">
        <v>1.5469999999999999</v>
      </c>
      <c r="V166">
        <v>1.5289999999999999</v>
      </c>
      <c r="W166">
        <v>1.5289999999999999</v>
      </c>
      <c r="X166">
        <v>1.5189999999999999</v>
      </c>
      <c r="Y166">
        <v>1.5189999999999999</v>
      </c>
      <c r="Z166">
        <v>1.4990000000000001</v>
      </c>
      <c r="AB166" s="16">
        <v>7</v>
      </c>
      <c r="AC166">
        <v>1.613</v>
      </c>
      <c r="AD166">
        <v>1.5940000000000001</v>
      </c>
      <c r="AE166">
        <v>1.6040000000000001</v>
      </c>
      <c r="AF166">
        <v>1.5780000000000001</v>
      </c>
      <c r="AG166">
        <v>1.5629999999999999</v>
      </c>
      <c r="AH166">
        <v>1.542</v>
      </c>
      <c r="AI166">
        <v>1.5149999999999999</v>
      </c>
    </row>
    <row r="167" spans="1:35" x14ac:dyDescent="0.4">
      <c r="A167" s="16">
        <v>7</v>
      </c>
      <c r="B167">
        <v>1.6339999999999999</v>
      </c>
      <c r="C167">
        <v>1.611</v>
      </c>
      <c r="D167">
        <v>1.5940000000000001</v>
      </c>
      <c r="E167">
        <v>1.5780000000000001</v>
      </c>
      <c r="F167">
        <v>1.5649999999999999</v>
      </c>
      <c r="G167">
        <v>1.538</v>
      </c>
      <c r="H167">
        <v>1.52</v>
      </c>
      <c r="I167" s="16"/>
      <c r="J167" s="16">
        <v>7</v>
      </c>
      <c r="K167" s="16">
        <v>1.7589999999999999</v>
      </c>
      <c r="L167" s="16">
        <v>1.7210000000000001</v>
      </c>
      <c r="M167" s="16">
        <v>1.698</v>
      </c>
      <c r="N167" s="16">
        <v>1.675</v>
      </c>
      <c r="O167" s="16">
        <v>1.631</v>
      </c>
      <c r="P167">
        <v>1.631</v>
      </c>
      <c r="Q167">
        <v>1.548</v>
      </c>
      <c r="S167" s="16">
        <v>7</v>
      </c>
      <c r="T167">
        <v>1.5629999999999999</v>
      </c>
      <c r="U167">
        <v>1.54</v>
      </c>
      <c r="V167">
        <v>1.5289999999999999</v>
      </c>
      <c r="W167">
        <v>1.5289999999999999</v>
      </c>
      <c r="X167">
        <v>1.5169999999999999</v>
      </c>
      <c r="Y167">
        <v>1.4990000000000001</v>
      </c>
      <c r="Z167">
        <v>1.4990000000000001</v>
      </c>
      <c r="AB167" s="16">
        <v>7</v>
      </c>
      <c r="AC167">
        <v>1.6259999999999999</v>
      </c>
      <c r="AD167">
        <v>1.5780000000000001</v>
      </c>
      <c r="AE167">
        <v>1.583</v>
      </c>
      <c r="AF167">
        <v>1.5760000000000001</v>
      </c>
      <c r="AG167">
        <v>1.5629999999999999</v>
      </c>
      <c r="AH167">
        <v>1.542</v>
      </c>
      <c r="AI167">
        <v>1.522</v>
      </c>
    </row>
    <row r="168" spans="1:35" x14ac:dyDescent="0.4">
      <c r="A168" s="16">
        <v>8</v>
      </c>
      <c r="B168">
        <v>1.621</v>
      </c>
      <c r="C168">
        <v>1.611</v>
      </c>
      <c r="D168">
        <v>1.5940000000000001</v>
      </c>
      <c r="E168">
        <v>1.5780000000000001</v>
      </c>
      <c r="F168">
        <v>1.5649999999999999</v>
      </c>
      <c r="G168">
        <v>1.538</v>
      </c>
      <c r="H168">
        <v>1.5269999999999999</v>
      </c>
      <c r="I168" s="16"/>
      <c r="J168" s="16">
        <v>8</v>
      </c>
      <c r="K168" s="16">
        <v>1.762</v>
      </c>
      <c r="L168" s="16">
        <v>1.7210000000000001</v>
      </c>
      <c r="M168" s="16">
        <v>1.7010000000000001</v>
      </c>
      <c r="N168" s="16">
        <v>1.6619999999999999</v>
      </c>
      <c r="O168" s="16">
        <v>1.655</v>
      </c>
      <c r="P168">
        <v>1.621</v>
      </c>
      <c r="Q168">
        <v>1.5549999999999999</v>
      </c>
      <c r="S168" s="16">
        <v>8</v>
      </c>
      <c r="T168">
        <v>1.55</v>
      </c>
      <c r="U168">
        <v>1.54</v>
      </c>
      <c r="V168">
        <v>1.54</v>
      </c>
      <c r="W168">
        <v>1.5289999999999999</v>
      </c>
      <c r="X168">
        <v>1.5189999999999999</v>
      </c>
      <c r="Y168">
        <v>1.5089999999999999</v>
      </c>
      <c r="Z168">
        <v>1.496</v>
      </c>
      <c r="AB168" s="16">
        <v>8</v>
      </c>
      <c r="AC168">
        <v>1.623</v>
      </c>
      <c r="AD168">
        <v>1.581</v>
      </c>
      <c r="AE168">
        <v>1.5760000000000001</v>
      </c>
      <c r="AF168">
        <v>1.5780000000000001</v>
      </c>
      <c r="AG168">
        <v>1.5760000000000001</v>
      </c>
      <c r="AH168">
        <v>1.542</v>
      </c>
      <c r="AI168">
        <v>1.5149999999999999</v>
      </c>
    </row>
    <row r="169" spans="1:35" x14ac:dyDescent="0.4">
      <c r="A169" s="16">
        <v>8</v>
      </c>
      <c r="B169">
        <v>1.6240000000000001</v>
      </c>
      <c r="C169">
        <v>1.611</v>
      </c>
      <c r="D169">
        <v>1.591</v>
      </c>
      <c r="E169">
        <v>1.5780000000000001</v>
      </c>
      <c r="F169">
        <v>1.5780000000000001</v>
      </c>
      <c r="G169">
        <v>1.548</v>
      </c>
      <c r="H169">
        <v>1.5169999999999999</v>
      </c>
      <c r="I169" s="16"/>
      <c r="J169" s="16">
        <v>8</v>
      </c>
      <c r="K169" s="16">
        <v>1.748</v>
      </c>
      <c r="L169" s="16">
        <v>1.728</v>
      </c>
      <c r="M169" s="16">
        <v>1.708</v>
      </c>
      <c r="N169" s="16">
        <v>1.6850000000000001</v>
      </c>
      <c r="O169" s="16">
        <v>1.655</v>
      </c>
      <c r="P169">
        <v>1.6240000000000001</v>
      </c>
      <c r="Q169">
        <v>1.5549999999999999</v>
      </c>
      <c r="S169" s="16">
        <v>8</v>
      </c>
      <c r="T169">
        <v>1.55</v>
      </c>
      <c r="U169">
        <v>1.54</v>
      </c>
      <c r="V169">
        <v>1.54</v>
      </c>
      <c r="W169">
        <v>1.5269999999999999</v>
      </c>
      <c r="X169">
        <v>1.5189999999999999</v>
      </c>
      <c r="Y169">
        <v>1.5089999999999999</v>
      </c>
      <c r="Z169">
        <v>1.496</v>
      </c>
      <c r="AB169" s="16">
        <v>8</v>
      </c>
      <c r="AC169">
        <v>1.6160000000000001</v>
      </c>
      <c r="AD169">
        <v>1.5940000000000001</v>
      </c>
      <c r="AE169">
        <v>1.583</v>
      </c>
      <c r="AF169">
        <v>1.5760000000000001</v>
      </c>
      <c r="AG169">
        <v>1.5680000000000001</v>
      </c>
      <c r="AH169">
        <v>1.5549999999999999</v>
      </c>
      <c r="AI169">
        <v>1.5149999999999999</v>
      </c>
    </row>
    <row r="170" spans="1:35" x14ac:dyDescent="0.4">
      <c r="A170" s="16">
        <v>9</v>
      </c>
      <c r="B170">
        <v>1.6240000000000001</v>
      </c>
      <c r="C170">
        <v>1.611</v>
      </c>
      <c r="D170">
        <v>1.5940000000000001</v>
      </c>
      <c r="E170">
        <v>1.583</v>
      </c>
      <c r="F170">
        <v>1.5580000000000001</v>
      </c>
      <c r="G170">
        <v>1.548</v>
      </c>
      <c r="H170">
        <v>1.5169999999999999</v>
      </c>
      <c r="I170" s="16"/>
      <c r="J170" s="16">
        <v>9</v>
      </c>
      <c r="K170" s="16">
        <v>1.7509999999999999</v>
      </c>
      <c r="L170" s="16">
        <v>1.728</v>
      </c>
      <c r="M170" s="16">
        <v>1.7010000000000001</v>
      </c>
      <c r="N170" s="16">
        <v>1.6850000000000001</v>
      </c>
      <c r="O170" s="16">
        <v>1.6339999999999999</v>
      </c>
      <c r="P170">
        <v>1.621</v>
      </c>
      <c r="Q170">
        <v>1.5580000000000001</v>
      </c>
      <c r="S170" s="16">
        <v>9</v>
      </c>
      <c r="T170">
        <v>1.55</v>
      </c>
      <c r="U170">
        <v>1.55</v>
      </c>
      <c r="V170">
        <v>1.54</v>
      </c>
      <c r="W170">
        <v>1.5269999999999999</v>
      </c>
      <c r="X170">
        <v>1.5189999999999999</v>
      </c>
      <c r="Y170">
        <v>1.5089999999999999</v>
      </c>
      <c r="Z170">
        <v>1.4990000000000001</v>
      </c>
      <c r="AB170" s="16">
        <v>9</v>
      </c>
      <c r="AC170">
        <v>1.613</v>
      </c>
      <c r="AD170">
        <v>1.5940000000000001</v>
      </c>
      <c r="AE170">
        <v>1.583</v>
      </c>
      <c r="AF170">
        <v>1.5649999999999999</v>
      </c>
      <c r="AG170">
        <v>1.5649999999999999</v>
      </c>
      <c r="AH170">
        <v>1.5449999999999999</v>
      </c>
      <c r="AI170">
        <v>1.504</v>
      </c>
    </row>
    <row r="171" spans="1:35" x14ac:dyDescent="0.4">
      <c r="A171" s="16">
        <v>9</v>
      </c>
      <c r="B171">
        <v>1.6339999999999999</v>
      </c>
      <c r="C171">
        <v>1.6140000000000001</v>
      </c>
      <c r="D171">
        <v>1.5940000000000001</v>
      </c>
      <c r="E171">
        <v>1.581</v>
      </c>
      <c r="F171">
        <v>1.5649999999999999</v>
      </c>
      <c r="G171">
        <v>1.5580000000000001</v>
      </c>
      <c r="H171">
        <v>1.538</v>
      </c>
      <c r="I171" s="16"/>
      <c r="J171" s="16">
        <v>9</v>
      </c>
      <c r="K171" s="16">
        <v>1.7509999999999999</v>
      </c>
      <c r="L171" s="16">
        <v>1.7310000000000001</v>
      </c>
      <c r="M171" s="16">
        <v>1.7010000000000001</v>
      </c>
      <c r="N171" s="16">
        <v>1.675</v>
      </c>
      <c r="O171" s="16">
        <v>1.645</v>
      </c>
      <c r="P171">
        <v>1.621</v>
      </c>
      <c r="Q171">
        <v>1.5580000000000001</v>
      </c>
      <c r="S171" s="16">
        <v>9</v>
      </c>
      <c r="T171">
        <v>1.56</v>
      </c>
      <c r="U171">
        <v>1.54</v>
      </c>
      <c r="V171">
        <v>1.54</v>
      </c>
      <c r="W171">
        <v>1.5269999999999999</v>
      </c>
      <c r="X171">
        <v>1.5289999999999999</v>
      </c>
      <c r="Y171">
        <v>1.5189999999999999</v>
      </c>
      <c r="Z171">
        <v>1.4890000000000001</v>
      </c>
      <c r="AB171" s="16">
        <v>9</v>
      </c>
      <c r="AC171">
        <v>1.6160000000000001</v>
      </c>
      <c r="AD171">
        <v>1.591</v>
      </c>
      <c r="AE171">
        <v>1.5940000000000001</v>
      </c>
      <c r="AF171">
        <v>1.581</v>
      </c>
      <c r="AG171">
        <v>1.5549999999999999</v>
      </c>
      <c r="AH171">
        <v>1.5549999999999999</v>
      </c>
      <c r="AI171">
        <v>1.504</v>
      </c>
    </row>
    <row r="172" spans="1:35" x14ac:dyDescent="0.4">
      <c r="A172" s="16">
        <v>10</v>
      </c>
      <c r="B172">
        <v>1.6240000000000001</v>
      </c>
      <c r="C172">
        <v>1.621</v>
      </c>
      <c r="D172">
        <v>1.5940000000000001</v>
      </c>
      <c r="E172">
        <v>1.581</v>
      </c>
      <c r="F172">
        <v>1.5680000000000001</v>
      </c>
      <c r="G172">
        <v>1.538</v>
      </c>
      <c r="H172">
        <v>1.52</v>
      </c>
      <c r="I172" s="16"/>
      <c r="J172" s="16">
        <v>10</v>
      </c>
      <c r="K172" s="16">
        <v>1.748</v>
      </c>
      <c r="L172" s="16">
        <v>1.7210000000000001</v>
      </c>
      <c r="M172" s="16">
        <v>1.698</v>
      </c>
      <c r="N172" s="16">
        <v>1.6719999999999999</v>
      </c>
      <c r="O172" s="16">
        <v>1.645</v>
      </c>
      <c r="P172">
        <v>1.621</v>
      </c>
      <c r="Q172">
        <v>1.548</v>
      </c>
      <c r="S172" s="16">
        <v>10</v>
      </c>
      <c r="T172">
        <v>1.56</v>
      </c>
      <c r="U172">
        <v>1.54</v>
      </c>
      <c r="V172">
        <v>1.5369999999999999</v>
      </c>
      <c r="W172">
        <v>1.5369999999999999</v>
      </c>
      <c r="X172">
        <v>1.5289999999999999</v>
      </c>
      <c r="Y172">
        <v>1.4990000000000001</v>
      </c>
      <c r="Z172">
        <v>1.4990000000000001</v>
      </c>
      <c r="AB172" s="16">
        <v>10</v>
      </c>
      <c r="AC172">
        <v>1.605</v>
      </c>
      <c r="AD172">
        <v>1.5940000000000001</v>
      </c>
      <c r="AE172">
        <v>1.581</v>
      </c>
      <c r="AF172">
        <v>1.581</v>
      </c>
      <c r="AG172">
        <v>1.5549999999999999</v>
      </c>
      <c r="AH172">
        <v>1.5449999999999999</v>
      </c>
      <c r="AI172">
        <v>1.5149999999999999</v>
      </c>
    </row>
    <row r="173" spans="1:35" x14ac:dyDescent="0.4">
      <c r="A173" s="16">
        <v>10</v>
      </c>
      <c r="B173">
        <v>1.6339999999999999</v>
      </c>
      <c r="C173">
        <v>1.6140000000000001</v>
      </c>
      <c r="D173">
        <v>1.5940000000000001</v>
      </c>
      <c r="E173">
        <v>1.5760000000000001</v>
      </c>
      <c r="F173">
        <v>1.5680000000000001</v>
      </c>
      <c r="G173">
        <v>1.5509999999999999</v>
      </c>
      <c r="H173">
        <v>1.5169999999999999</v>
      </c>
      <c r="I173" s="16"/>
      <c r="J173" s="16">
        <v>10</v>
      </c>
      <c r="K173" s="16">
        <v>1.748</v>
      </c>
      <c r="L173" s="16">
        <v>1.738</v>
      </c>
      <c r="M173" s="16">
        <v>1.698</v>
      </c>
      <c r="N173" s="16">
        <v>1.6619999999999999</v>
      </c>
      <c r="O173" s="16">
        <v>1.645</v>
      </c>
      <c r="P173">
        <v>1.6240000000000001</v>
      </c>
      <c r="Q173">
        <v>1.548</v>
      </c>
      <c r="S173" s="16">
        <v>10</v>
      </c>
      <c r="T173">
        <v>1.56</v>
      </c>
      <c r="U173">
        <v>1.55</v>
      </c>
      <c r="V173">
        <v>1.5289999999999999</v>
      </c>
      <c r="W173">
        <v>1.5369999999999999</v>
      </c>
      <c r="X173">
        <v>1.5289999999999999</v>
      </c>
      <c r="Y173">
        <v>1.5089999999999999</v>
      </c>
      <c r="Z173">
        <v>1.4990000000000001</v>
      </c>
      <c r="AB173" s="16">
        <v>10</v>
      </c>
      <c r="AC173">
        <v>1.605</v>
      </c>
      <c r="AD173">
        <v>1.6040000000000001</v>
      </c>
      <c r="AE173">
        <v>1.581</v>
      </c>
      <c r="AF173">
        <v>1.581</v>
      </c>
      <c r="AG173">
        <v>1.5549999999999999</v>
      </c>
      <c r="AH173">
        <v>1.5549999999999999</v>
      </c>
      <c r="AI173">
        <v>1.5249999999999999</v>
      </c>
    </row>
    <row r="174" spans="1:35" x14ac:dyDescent="0.4">
      <c r="A174" s="16">
        <v>11</v>
      </c>
      <c r="B174">
        <v>1.6240000000000001</v>
      </c>
      <c r="C174">
        <v>1.6240000000000001</v>
      </c>
      <c r="D174">
        <v>1.5940000000000001</v>
      </c>
      <c r="E174">
        <v>1.5760000000000001</v>
      </c>
      <c r="F174">
        <v>1.5649999999999999</v>
      </c>
      <c r="G174">
        <v>1.5509999999999999</v>
      </c>
      <c r="H174">
        <v>1.5169999999999999</v>
      </c>
      <c r="I174" s="16"/>
      <c r="J174" s="16">
        <v>11</v>
      </c>
      <c r="K174" s="16">
        <v>1.7509999999999999</v>
      </c>
      <c r="L174" s="16">
        <v>1.718</v>
      </c>
      <c r="M174" s="16">
        <v>1.698</v>
      </c>
      <c r="N174" s="16">
        <v>1.6619999999999999</v>
      </c>
      <c r="O174" s="16">
        <v>1.645</v>
      </c>
      <c r="P174">
        <v>1.631</v>
      </c>
      <c r="Q174">
        <v>1.5549999999999999</v>
      </c>
      <c r="S174" s="16">
        <v>11</v>
      </c>
      <c r="T174">
        <v>1.55</v>
      </c>
      <c r="U174">
        <v>1.55</v>
      </c>
      <c r="V174">
        <v>1.54</v>
      </c>
      <c r="W174">
        <v>1.5289999999999999</v>
      </c>
      <c r="X174">
        <v>1.5189999999999999</v>
      </c>
      <c r="Y174">
        <v>1.5089999999999999</v>
      </c>
      <c r="Z174">
        <v>1.4990000000000001</v>
      </c>
      <c r="AB174" s="16">
        <v>11</v>
      </c>
      <c r="AC174">
        <v>1.6259999999999999</v>
      </c>
      <c r="AD174">
        <v>1.6040000000000001</v>
      </c>
      <c r="AE174">
        <v>1.5760000000000001</v>
      </c>
      <c r="AF174">
        <v>1.581</v>
      </c>
      <c r="AG174">
        <v>1.5649999999999999</v>
      </c>
      <c r="AH174">
        <v>1.5449999999999999</v>
      </c>
      <c r="AI174">
        <v>1.5249999999999999</v>
      </c>
    </row>
    <row r="175" spans="1:35" x14ac:dyDescent="0.4">
      <c r="A175" s="16">
        <v>11</v>
      </c>
      <c r="B175">
        <v>1.6240000000000001</v>
      </c>
      <c r="C175">
        <v>1.6240000000000001</v>
      </c>
      <c r="D175">
        <v>1.5940000000000001</v>
      </c>
      <c r="E175">
        <v>1.583</v>
      </c>
      <c r="F175">
        <v>1.5780000000000001</v>
      </c>
      <c r="G175">
        <v>1.5509999999999999</v>
      </c>
      <c r="H175">
        <v>1.5269999999999999</v>
      </c>
      <c r="I175" s="16"/>
      <c r="J175" s="16">
        <v>11</v>
      </c>
      <c r="K175" s="16">
        <v>1.738</v>
      </c>
      <c r="L175" s="16">
        <v>1.718</v>
      </c>
      <c r="M175" s="16">
        <v>1.7010000000000001</v>
      </c>
      <c r="N175" s="16">
        <v>1.6850000000000001</v>
      </c>
      <c r="O175" s="16">
        <v>1.6419999999999999</v>
      </c>
      <c r="P175">
        <v>1.631</v>
      </c>
      <c r="Q175">
        <v>1.5649999999999999</v>
      </c>
      <c r="S175" s="16">
        <v>11</v>
      </c>
      <c r="T175">
        <v>1.552</v>
      </c>
      <c r="U175">
        <v>1.55</v>
      </c>
      <c r="V175">
        <v>1.54</v>
      </c>
      <c r="W175">
        <v>1.5169999999999999</v>
      </c>
      <c r="X175">
        <v>1.5189999999999999</v>
      </c>
      <c r="Y175">
        <v>1.5189999999999999</v>
      </c>
      <c r="Z175">
        <v>1.4990000000000001</v>
      </c>
      <c r="AB175" s="16">
        <v>11</v>
      </c>
      <c r="AC175">
        <v>1.6160000000000001</v>
      </c>
      <c r="AD175">
        <v>1.581</v>
      </c>
      <c r="AE175">
        <v>1.583</v>
      </c>
      <c r="AF175">
        <v>1.581</v>
      </c>
      <c r="AG175">
        <v>1.552</v>
      </c>
      <c r="AH175">
        <v>1.5449999999999999</v>
      </c>
      <c r="AI175">
        <v>1.5149999999999999</v>
      </c>
    </row>
    <row r="176" spans="1:35" x14ac:dyDescent="0.4">
      <c r="A176" s="16">
        <v>12</v>
      </c>
      <c r="B176">
        <v>1.6240000000000001</v>
      </c>
      <c r="C176">
        <v>1.6140000000000001</v>
      </c>
      <c r="D176">
        <v>1.5860000000000001</v>
      </c>
      <c r="E176">
        <v>1.583</v>
      </c>
      <c r="F176">
        <v>1.5680000000000001</v>
      </c>
      <c r="G176">
        <v>1.548</v>
      </c>
      <c r="H176">
        <v>1.5269999999999999</v>
      </c>
      <c r="I176" s="16"/>
      <c r="J176" s="16">
        <v>12</v>
      </c>
      <c r="K176" s="16">
        <v>1.772</v>
      </c>
      <c r="L176" s="16">
        <v>1.7310000000000001</v>
      </c>
      <c r="M176" s="16">
        <v>1.698</v>
      </c>
      <c r="N176" s="16">
        <v>1.6719999999999999</v>
      </c>
      <c r="O176" s="16">
        <v>1.6419999999999999</v>
      </c>
      <c r="P176">
        <v>1.621</v>
      </c>
      <c r="Q176">
        <v>1.5580000000000001</v>
      </c>
      <c r="S176" s="16">
        <v>12</v>
      </c>
      <c r="T176">
        <v>1.552</v>
      </c>
      <c r="U176">
        <v>1.55</v>
      </c>
      <c r="V176">
        <v>1.5289999999999999</v>
      </c>
      <c r="W176">
        <v>1.5269999999999999</v>
      </c>
      <c r="X176">
        <v>1.5089999999999999</v>
      </c>
      <c r="Y176">
        <v>1.496</v>
      </c>
      <c r="Z176">
        <v>1.4990000000000001</v>
      </c>
      <c r="AB176" s="16">
        <v>12</v>
      </c>
      <c r="AC176">
        <v>1.6259999999999999</v>
      </c>
      <c r="AD176">
        <v>1.583</v>
      </c>
      <c r="AE176">
        <v>1.5940000000000001</v>
      </c>
      <c r="AF176">
        <v>1.5760000000000001</v>
      </c>
      <c r="AG176">
        <v>1.552</v>
      </c>
      <c r="AH176">
        <v>1.5449999999999999</v>
      </c>
      <c r="AI176">
        <v>1.5169999999999999</v>
      </c>
    </row>
    <row r="177" spans="1:35" x14ac:dyDescent="0.4">
      <c r="A177" s="16">
        <v>12</v>
      </c>
      <c r="B177">
        <v>1.621</v>
      </c>
      <c r="C177">
        <v>1.6140000000000001</v>
      </c>
      <c r="D177">
        <v>1.6040000000000001</v>
      </c>
      <c r="E177">
        <v>1.583</v>
      </c>
      <c r="F177">
        <v>1.5680000000000001</v>
      </c>
      <c r="G177">
        <v>1.548</v>
      </c>
      <c r="H177">
        <v>1.5149999999999999</v>
      </c>
      <c r="I177" s="16"/>
      <c r="J177" s="16">
        <v>12</v>
      </c>
      <c r="K177" s="16">
        <v>1.7509999999999999</v>
      </c>
      <c r="L177" s="16">
        <v>1.718</v>
      </c>
      <c r="M177" s="16">
        <v>1.698</v>
      </c>
      <c r="N177" s="16">
        <v>1.6850000000000001</v>
      </c>
      <c r="O177" s="16">
        <v>1.645</v>
      </c>
      <c r="P177">
        <v>1.621</v>
      </c>
      <c r="Q177">
        <v>1.5580000000000001</v>
      </c>
      <c r="S177" s="16">
        <v>12</v>
      </c>
      <c r="T177">
        <v>1.55</v>
      </c>
      <c r="U177">
        <v>1.54</v>
      </c>
      <c r="V177">
        <v>1.54</v>
      </c>
      <c r="W177">
        <v>1.5269999999999999</v>
      </c>
      <c r="X177">
        <v>1.5089999999999999</v>
      </c>
      <c r="Y177">
        <v>1.5089999999999999</v>
      </c>
      <c r="Z177">
        <v>1.4990000000000001</v>
      </c>
      <c r="AB177" s="16">
        <v>12</v>
      </c>
      <c r="AC177">
        <v>1.613</v>
      </c>
      <c r="AD177">
        <v>1.583</v>
      </c>
      <c r="AE177">
        <v>1.5940000000000001</v>
      </c>
      <c r="AF177">
        <v>1.5649999999999999</v>
      </c>
      <c r="AG177">
        <v>1.5549999999999999</v>
      </c>
      <c r="AH177">
        <v>1.5449999999999999</v>
      </c>
      <c r="AI177">
        <v>1.5169999999999999</v>
      </c>
    </row>
    <row r="178" spans="1:35" x14ac:dyDescent="0.4">
      <c r="A178" s="16">
        <v>13</v>
      </c>
      <c r="B178">
        <v>1.627</v>
      </c>
      <c r="C178">
        <v>1.6240000000000001</v>
      </c>
      <c r="D178">
        <v>1.583</v>
      </c>
      <c r="E178">
        <v>1.5760000000000001</v>
      </c>
      <c r="F178">
        <v>1.5680000000000001</v>
      </c>
      <c r="G178">
        <v>1.5580000000000001</v>
      </c>
      <c r="H178">
        <v>1.5169999999999999</v>
      </c>
      <c r="I178" s="16"/>
      <c r="J178" s="16">
        <v>13</v>
      </c>
      <c r="K178" s="16">
        <v>1.7509999999999999</v>
      </c>
      <c r="L178" s="16">
        <v>1.7310000000000001</v>
      </c>
      <c r="M178" s="16">
        <v>1.698</v>
      </c>
      <c r="N178" s="16">
        <v>1.6850000000000001</v>
      </c>
      <c r="O178" s="16">
        <v>1.645</v>
      </c>
      <c r="P178">
        <v>1.6180000000000001</v>
      </c>
      <c r="Q178">
        <v>1.5580000000000001</v>
      </c>
      <c r="S178" s="16">
        <v>13</v>
      </c>
      <c r="T178">
        <v>1.55</v>
      </c>
      <c r="U178">
        <v>1.54</v>
      </c>
      <c r="V178">
        <v>1.5289999999999999</v>
      </c>
      <c r="W178">
        <v>1.5289999999999999</v>
      </c>
      <c r="X178">
        <v>1.5189999999999999</v>
      </c>
      <c r="Y178">
        <v>1.5089999999999999</v>
      </c>
      <c r="Z178">
        <v>1.4990000000000001</v>
      </c>
      <c r="AB178" s="16">
        <v>13</v>
      </c>
      <c r="AC178">
        <v>1.613</v>
      </c>
      <c r="AD178">
        <v>1.583</v>
      </c>
      <c r="AE178">
        <v>1.5940000000000001</v>
      </c>
      <c r="AF178">
        <v>1.581</v>
      </c>
      <c r="AG178">
        <v>1.5549999999999999</v>
      </c>
      <c r="AH178">
        <v>1.5549999999999999</v>
      </c>
      <c r="AI178">
        <v>1.5169999999999999</v>
      </c>
    </row>
    <row r="179" spans="1:35" x14ac:dyDescent="0.4">
      <c r="A179" s="16">
        <v>13</v>
      </c>
      <c r="B179">
        <v>1.6240000000000001</v>
      </c>
      <c r="C179">
        <v>1.6240000000000001</v>
      </c>
      <c r="D179">
        <v>1.5940000000000001</v>
      </c>
      <c r="E179">
        <v>1.581</v>
      </c>
      <c r="F179">
        <v>1.5580000000000001</v>
      </c>
      <c r="G179">
        <v>1.5580000000000001</v>
      </c>
      <c r="H179">
        <v>1.5149999999999999</v>
      </c>
      <c r="I179" s="16"/>
      <c r="J179" s="16">
        <v>13</v>
      </c>
      <c r="K179" s="16">
        <v>1.7509999999999999</v>
      </c>
      <c r="L179" s="16">
        <v>1.738</v>
      </c>
      <c r="M179" s="16">
        <v>1.698</v>
      </c>
      <c r="N179" s="16">
        <v>1.6719999999999999</v>
      </c>
      <c r="O179" s="16">
        <v>1.631</v>
      </c>
      <c r="P179">
        <v>1.6180000000000001</v>
      </c>
      <c r="Q179">
        <v>1.5580000000000001</v>
      </c>
      <c r="S179" s="16">
        <v>13</v>
      </c>
      <c r="T179">
        <v>1.56</v>
      </c>
      <c r="U179">
        <v>1.55</v>
      </c>
      <c r="V179">
        <v>1.5369999999999999</v>
      </c>
      <c r="W179">
        <v>1.5169999999999999</v>
      </c>
      <c r="X179">
        <v>1.5189999999999999</v>
      </c>
      <c r="Y179">
        <v>1.5089999999999999</v>
      </c>
      <c r="Z179">
        <v>1.4990000000000001</v>
      </c>
      <c r="AB179" s="16">
        <v>13</v>
      </c>
      <c r="AC179">
        <v>1.6259999999999999</v>
      </c>
      <c r="AD179">
        <v>1.583</v>
      </c>
      <c r="AE179">
        <v>1.583</v>
      </c>
      <c r="AF179">
        <v>1.5760000000000001</v>
      </c>
      <c r="AG179">
        <v>1.5629999999999999</v>
      </c>
      <c r="AH179">
        <v>1.5549999999999999</v>
      </c>
      <c r="AI179">
        <v>1.5169999999999999</v>
      </c>
    </row>
    <row r="180" spans="1:35" x14ac:dyDescent="0.4">
      <c r="A180" s="16">
        <v>14</v>
      </c>
      <c r="B180">
        <v>1.621</v>
      </c>
      <c r="C180">
        <v>1.6240000000000001</v>
      </c>
      <c r="D180">
        <v>1.583</v>
      </c>
      <c r="E180">
        <v>1.5780000000000001</v>
      </c>
      <c r="F180">
        <v>1.5760000000000001</v>
      </c>
      <c r="G180">
        <v>1.5580000000000001</v>
      </c>
      <c r="H180">
        <v>1.5169999999999999</v>
      </c>
      <c r="I180" s="16"/>
      <c r="J180" s="16">
        <v>14</v>
      </c>
      <c r="K180" s="16">
        <v>1.7509999999999999</v>
      </c>
      <c r="L180" s="16">
        <v>1.7210000000000001</v>
      </c>
      <c r="M180" s="16">
        <v>1.698</v>
      </c>
      <c r="N180" s="16">
        <v>1.6719999999999999</v>
      </c>
      <c r="O180" s="16">
        <v>1.6419999999999999</v>
      </c>
      <c r="P180">
        <v>1.6180000000000001</v>
      </c>
      <c r="Q180">
        <v>1.5549999999999999</v>
      </c>
      <c r="S180" s="16">
        <v>14</v>
      </c>
      <c r="T180">
        <v>1.54</v>
      </c>
      <c r="U180">
        <v>1.55</v>
      </c>
      <c r="V180">
        <v>1.5289999999999999</v>
      </c>
      <c r="W180">
        <v>1.5169999999999999</v>
      </c>
      <c r="X180">
        <v>1.522</v>
      </c>
      <c r="Y180">
        <v>1.5089999999999999</v>
      </c>
      <c r="Z180">
        <v>1.496</v>
      </c>
      <c r="AB180" s="16">
        <v>14</v>
      </c>
      <c r="AC180">
        <v>1.623</v>
      </c>
      <c r="AD180">
        <v>1.5940000000000001</v>
      </c>
      <c r="AE180">
        <v>1.5760000000000001</v>
      </c>
      <c r="AF180">
        <v>1.5760000000000001</v>
      </c>
      <c r="AG180">
        <v>1.5649999999999999</v>
      </c>
      <c r="AH180">
        <v>1.542</v>
      </c>
      <c r="AI180">
        <v>1.5149999999999999</v>
      </c>
    </row>
    <row r="181" spans="1:35" x14ac:dyDescent="0.4">
      <c r="A181" s="16">
        <v>14</v>
      </c>
      <c r="B181">
        <v>1.621</v>
      </c>
      <c r="C181">
        <v>1.6240000000000001</v>
      </c>
      <c r="D181">
        <v>1.583</v>
      </c>
      <c r="E181">
        <v>1.581</v>
      </c>
      <c r="F181">
        <v>1.5680000000000001</v>
      </c>
      <c r="G181">
        <v>1.5449999999999999</v>
      </c>
      <c r="H181">
        <v>1.5169999999999999</v>
      </c>
      <c r="I181" s="16"/>
      <c r="J181" s="16">
        <v>14</v>
      </c>
      <c r="K181" s="16">
        <v>1.7509999999999999</v>
      </c>
      <c r="L181" s="16">
        <v>1.718</v>
      </c>
      <c r="M181" s="16">
        <v>1.708</v>
      </c>
      <c r="N181" s="16">
        <v>1.6719999999999999</v>
      </c>
      <c r="O181" s="16">
        <v>1.6339999999999999</v>
      </c>
      <c r="P181">
        <v>1.621</v>
      </c>
      <c r="Q181">
        <v>1.5580000000000001</v>
      </c>
      <c r="S181" s="16">
        <v>14</v>
      </c>
      <c r="T181">
        <v>1.55</v>
      </c>
      <c r="U181">
        <v>1.55</v>
      </c>
      <c r="V181">
        <v>1.5289999999999999</v>
      </c>
      <c r="W181">
        <v>1.5289999999999999</v>
      </c>
      <c r="X181">
        <v>1.5189999999999999</v>
      </c>
      <c r="Y181">
        <v>1.5089999999999999</v>
      </c>
      <c r="Z181">
        <v>1.496</v>
      </c>
      <c r="AB181" s="16">
        <v>14</v>
      </c>
      <c r="AC181">
        <v>1.6259999999999999</v>
      </c>
      <c r="AD181">
        <v>1.5940000000000001</v>
      </c>
      <c r="AE181">
        <v>1.583</v>
      </c>
      <c r="AF181">
        <v>1.5760000000000001</v>
      </c>
      <c r="AG181">
        <v>1.5549999999999999</v>
      </c>
      <c r="AH181">
        <v>1.5549999999999999</v>
      </c>
      <c r="AI181">
        <v>1.5149999999999999</v>
      </c>
    </row>
    <row r="182" spans="1:35" x14ac:dyDescent="0.4">
      <c r="A182" s="16">
        <v>15</v>
      </c>
      <c r="B182">
        <v>1.6240000000000001</v>
      </c>
      <c r="C182">
        <v>1.6240000000000001</v>
      </c>
      <c r="D182">
        <v>1.583</v>
      </c>
      <c r="E182">
        <v>1.5760000000000001</v>
      </c>
      <c r="F182">
        <v>1.5680000000000001</v>
      </c>
      <c r="G182">
        <v>1.548</v>
      </c>
      <c r="H182">
        <v>1.5169999999999999</v>
      </c>
      <c r="I182" s="16"/>
      <c r="J182" s="16">
        <v>15</v>
      </c>
      <c r="K182" s="16">
        <v>1.7549999999999999</v>
      </c>
      <c r="L182" s="16">
        <v>1.718</v>
      </c>
      <c r="M182" s="16">
        <v>1.698</v>
      </c>
      <c r="N182" s="16">
        <v>1.6719999999999999</v>
      </c>
      <c r="O182" s="16">
        <v>1.6419999999999999</v>
      </c>
      <c r="P182">
        <v>1.611</v>
      </c>
      <c r="Q182">
        <v>1.548</v>
      </c>
      <c r="S182" s="16">
        <v>15</v>
      </c>
      <c r="T182">
        <v>1.56</v>
      </c>
      <c r="U182">
        <v>1.55</v>
      </c>
      <c r="V182">
        <v>1.5269999999999999</v>
      </c>
      <c r="W182">
        <v>1.5269999999999999</v>
      </c>
      <c r="X182">
        <v>1.5169999999999999</v>
      </c>
      <c r="Y182">
        <v>1.506</v>
      </c>
      <c r="Z182">
        <v>1.4990000000000001</v>
      </c>
      <c r="AB182" s="16">
        <v>15</v>
      </c>
      <c r="AC182">
        <v>1.6259999999999999</v>
      </c>
      <c r="AD182">
        <v>1.5940000000000001</v>
      </c>
      <c r="AE182">
        <v>1.591</v>
      </c>
      <c r="AF182">
        <v>1.5760000000000001</v>
      </c>
      <c r="AG182">
        <v>1.5649999999999999</v>
      </c>
      <c r="AH182">
        <v>1.552</v>
      </c>
      <c r="AI182">
        <v>1.5149999999999999</v>
      </c>
    </row>
    <row r="183" spans="1:35" x14ac:dyDescent="0.4">
      <c r="A183" s="16">
        <v>15</v>
      </c>
      <c r="B183">
        <v>1.637</v>
      </c>
      <c r="C183">
        <v>1.6240000000000001</v>
      </c>
      <c r="D183">
        <v>1.591</v>
      </c>
      <c r="E183">
        <v>1.5760000000000001</v>
      </c>
      <c r="F183">
        <v>1.5680000000000001</v>
      </c>
      <c r="G183">
        <v>1.5349999999999999</v>
      </c>
      <c r="H183">
        <v>1.53</v>
      </c>
      <c r="I183" s="16"/>
      <c r="J183" s="16">
        <v>15</v>
      </c>
      <c r="K183" s="16">
        <v>1.7509999999999999</v>
      </c>
      <c r="L183" s="16">
        <v>1.7310000000000001</v>
      </c>
      <c r="M183" s="16">
        <v>1.7010000000000001</v>
      </c>
      <c r="N183" s="16">
        <v>1.6719999999999999</v>
      </c>
      <c r="O183" s="16">
        <v>1.6419999999999999</v>
      </c>
      <c r="P183">
        <v>1.6140000000000001</v>
      </c>
      <c r="Q183">
        <v>1.5449999999999999</v>
      </c>
      <c r="S183" s="16">
        <v>15</v>
      </c>
      <c r="T183">
        <v>1.56</v>
      </c>
      <c r="U183">
        <v>1.5469999999999999</v>
      </c>
      <c r="V183">
        <v>1.5289999999999999</v>
      </c>
      <c r="W183">
        <v>1.5269999999999999</v>
      </c>
      <c r="X183">
        <v>1.5089999999999999</v>
      </c>
      <c r="Y183">
        <v>1.506</v>
      </c>
      <c r="Z183">
        <v>1.4890000000000001</v>
      </c>
      <c r="AB183" s="16">
        <v>15</v>
      </c>
      <c r="AC183">
        <v>1.613</v>
      </c>
      <c r="AD183">
        <v>1.5960000000000001</v>
      </c>
      <c r="AE183">
        <v>1.5940000000000001</v>
      </c>
      <c r="AF183">
        <v>1.581</v>
      </c>
      <c r="AG183">
        <v>1.5680000000000001</v>
      </c>
      <c r="AH183">
        <v>1.548</v>
      </c>
      <c r="AI183">
        <v>1.504</v>
      </c>
    </row>
    <row r="184" spans="1:35" x14ac:dyDescent="0.4">
      <c r="A184" s="16">
        <v>16</v>
      </c>
      <c r="B184">
        <v>1.621</v>
      </c>
      <c r="C184">
        <v>1.6240000000000001</v>
      </c>
      <c r="D184">
        <v>1.583</v>
      </c>
      <c r="E184">
        <v>1.5780000000000001</v>
      </c>
      <c r="F184">
        <v>1.5680000000000001</v>
      </c>
      <c r="G184">
        <v>1.5509999999999999</v>
      </c>
      <c r="H184">
        <v>1.5169999999999999</v>
      </c>
      <c r="I184" s="16"/>
      <c r="J184" s="16">
        <v>16</v>
      </c>
      <c r="K184" s="16">
        <v>1.762</v>
      </c>
      <c r="L184">
        <v>1.7110000000000001</v>
      </c>
      <c r="M184">
        <v>1.7010000000000001</v>
      </c>
      <c r="N184">
        <v>1.6719999999999999</v>
      </c>
      <c r="O184">
        <v>1.645</v>
      </c>
      <c r="P184">
        <v>1.621</v>
      </c>
      <c r="Q184">
        <v>1.5449999999999999</v>
      </c>
      <c r="S184" s="16">
        <v>16</v>
      </c>
      <c r="T184">
        <v>1.55</v>
      </c>
      <c r="U184">
        <v>1.5469999999999999</v>
      </c>
      <c r="V184">
        <v>1.54</v>
      </c>
      <c r="W184">
        <v>1.5169999999999999</v>
      </c>
      <c r="X184">
        <v>1.5269999999999999</v>
      </c>
      <c r="Y184">
        <v>1.506</v>
      </c>
      <c r="Z184">
        <v>1.486</v>
      </c>
      <c r="AB184" s="16">
        <v>16</v>
      </c>
      <c r="AC184">
        <v>1.6160000000000001</v>
      </c>
      <c r="AD184">
        <v>1.583</v>
      </c>
      <c r="AE184">
        <v>1.581</v>
      </c>
      <c r="AF184">
        <v>1.581</v>
      </c>
      <c r="AG184">
        <v>1.5680000000000001</v>
      </c>
      <c r="AH184">
        <v>1.5549999999999999</v>
      </c>
      <c r="AI184">
        <v>1.504</v>
      </c>
    </row>
    <row r="185" spans="1:35" x14ac:dyDescent="0.4">
      <c r="A185" s="16">
        <v>16</v>
      </c>
      <c r="B185">
        <v>1.631</v>
      </c>
      <c r="C185">
        <v>1.6240000000000001</v>
      </c>
      <c r="D185">
        <v>1.583</v>
      </c>
      <c r="E185">
        <v>1.583</v>
      </c>
      <c r="F185">
        <v>1.5609999999999999</v>
      </c>
      <c r="G185">
        <v>1.5609999999999999</v>
      </c>
      <c r="H185">
        <v>1.5169999999999999</v>
      </c>
      <c r="I185" s="16"/>
      <c r="J185" s="16">
        <v>16</v>
      </c>
      <c r="K185" s="16">
        <v>1.7509999999999999</v>
      </c>
      <c r="L185">
        <v>1.724</v>
      </c>
      <c r="M185">
        <v>1.698</v>
      </c>
      <c r="N185">
        <v>1.675</v>
      </c>
      <c r="O185">
        <v>1.6339999999999999</v>
      </c>
      <c r="P185">
        <v>1.621</v>
      </c>
      <c r="Q185">
        <v>1.5580000000000001</v>
      </c>
      <c r="S185" s="16">
        <v>16</v>
      </c>
      <c r="T185">
        <v>1.56</v>
      </c>
      <c r="U185">
        <v>1.5369999999999999</v>
      </c>
      <c r="V185">
        <v>1.54</v>
      </c>
      <c r="W185">
        <v>1.5169999999999999</v>
      </c>
      <c r="X185">
        <v>1.506</v>
      </c>
      <c r="Y185">
        <v>1.5089999999999999</v>
      </c>
      <c r="Z185">
        <v>1.4890000000000001</v>
      </c>
      <c r="AB185" s="16">
        <v>16</v>
      </c>
      <c r="AC185">
        <v>1.6160000000000001</v>
      </c>
      <c r="AD185">
        <v>1.583</v>
      </c>
      <c r="AE185">
        <v>1.581</v>
      </c>
      <c r="AF185">
        <v>1.5760000000000001</v>
      </c>
      <c r="AG185">
        <v>1.5580000000000001</v>
      </c>
      <c r="AH185">
        <v>1.5349999999999999</v>
      </c>
      <c r="AI185">
        <v>1.504</v>
      </c>
    </row>
    <row r="186" spans="1:35" x14ac:dyDescent="0.4">
      <c r="A186" s="16">
        <v>17</v>
      </c>
      <c r="B186">
        <v>1.6240000000000001</v>
      </c>
      <c r="C186">
        <v>1.611</v>
      </c>
      <c r="D186">
        <v>1.5860000000000001</v>
      </c>
      <c r="E186">
        <v>1.5780000000000001</v>
      </c>
      <c r="F186">
        <v>1.5580000000000001</v>
      </c>
      <c r="G186">
        <v>1.5609999999999999</v>
      </c>
      <c r="H186">
        <v>1.5169999999999999</v>
      </c>
      <c r="I186" s="16"/>
      <c r="J186" s="16">
        <v>17</v>
      </c>
      <c r="K186" s="16">
        <v>1.762</v>
      </c>
      <c r="L186">
        <v>1.718</v>
      </c>
      <c r="M186">
        <v>1.7110000000000001</v>
      </c>
      <c r="N186">
        <v>1.6719999999999999</v>
      </c>
      <c r="O186">
        <v>1.655</v>
      </c>
      <c r="P186">
        <v>1.621</v>
      </c>
      <c r="Q186">
        <v>1.548</v>
      </c>
      <c r="S186" s="16">
        <v>17</v>
      </c>
      <c r="T186">
        <v>1.56</v>
      </c>
      <c r="U186">
        <v>1.5369999999999999</v>
      </c>
      <c r="V186">
        <v>1.5469999999999999</v>
      </c>
      <c r="W186">
        <v>1.5169999999999999</v>
      </c>
      <c r="X186">
        <v>1.506</v>
      </c>
      <c r="Y186">
        <v>1.5089999999999999</v>
      </c>
      <c r="Z186">
        <v>1.4890000000000001</v>
      </c>
      <c r="AB186" s="16">
        <v>17</v>
      </c>
      <c r="AC186">
        <v>1.6160000000000001</v>
      </c>
      <c r="AD186">
        <v>1.583</v>
      </c>
      <c r="AE186">
        <v>1.591</v>
      </c>
      <c r="AF186">
        <v>1.5760000000000001</v>
      </c>
      <c r="AG186">
        <v>1.5549999999999999</v>
      </c>
      <c r="AH186">
        <v>1.5449999999999999</v>
      </c>
      <c r="AI186">
        <v>1.522</v>
      </c>
    </row>
    <row r="187" spans="1:35" x14ac:dyDescent="0.4">
      <c r="A187" s="16">
        <v>17</v>
      </c>
      <c r="B187">
        <v>1.621</v>
      </c>
      <c r="C187">
        <v>1.631</v>
      </c>
      <c r="D187">
        <v>1.591</v>
      </c>
      <c r="E187">
        <v>1.5780000000000001</v>
      </c>
      <c r="F187">
        <v>1.5580000000000001</v>
      </c>
      <c r="G187">
        <v>1.5509999999999999</v>
      </c>
      <c r="H187">
        <v>1.5149999999999999</v>
      </c>
      <c r="I187" s="16"/>
      <c r="J187" s="16">
        <v>17</v>
      </c>
      <c r="K187" s="16">
        <v>1.748</v>
      </c>
      <c r="L187">
        <v>1.718</v>
      </c>
      <c r="M187">
        <v>1.708</v>
      </c>
      <c r="N187">
        <v>1.675</v>
      </c>
      <c r="O187">
        <v>1.6419999999999999</v>
      </c>
      <c r="P187">
        <v>1.6240000000000001</v>
      </c>
      <c r="Q187">
        <v>1.5649999999999999</v>
      </c>
      <c r="S187" s="16">
        <v>17</v>
      </c>
      <c r="T187">
        <v>1.56</v>
      </c>
      <c r="U187">
        <v>1.54</v>
      </c>
      <c r="V187">
        <v>1.5289999999999999</v>
      </c>
      <c r="W187">
        <v>1.5169999999999999</v>
      </c>
      <c r="X187">
        <v>1.5189999999999999</v>
      </c>
      <c r="Y187">
        <v>1.5089999999999999</v>
      </c>
      <c r="Z187">
        <v>1.4990000000000001</v>
      </c>
      <c r="AB187" s="16">
        <v>17</v>
      </c>
      <c r="AC187">
        <v>1.6160000000000001</v>
      </c>
      <c r="AD187">
        <v>1.607</v>
      </c>
      <c r="AE187">
        <v>1.5760000000000001</v>
      </c>
      <c r="AF187">
        <v>1.5780000000000001</v>
      </c>
      <c r="AG187">
        <v>1.552</v>
      </c>
      <c r="AH187">
        <v>1.5349999999999999</v>
      </c>
      <c r="AI187">
        <v>1.522</v>
      </c>
    </row>
    <row r="188" spans="1:35" x14ac:dyDescent="0.4">
      <c r="A188" s="16">
        <v>18</v>
      </c>
      <c r="B188">
        <v>1.6240000000000001</v>
      </c>
      <c r="C188">
        <v>1.6240000000000001</v>
      </c>
      <c r="D188">
        <v>1.583</v>
      </c>
      <c r="E188">
        <v>1.583</v>
      </c>
      <c r="F188">
        <v>1.5680000000000001</v>
      </c>
      <c r="G188">
        <v>1.538</v>
      </c>
      <c r="H188">
        <v>1.5149999999999999</v>
      </c>
      <c r="I188" s="16"/>
      <c r="J188" s="16">
        <v>18</v>
      </c>
      <c r="K188" s="16">
        <v>1.7410000000000001</v>
      </c>
      <c r="L188">
        <v>1.7310000000000001</v>
      </c>
      <c r="M188">
        <v>1.698</v>
      </c>
      <c r="N188">
        <v>1.675</v>
      </c>
      <c r="O188">
        <v>1.631</v>
      </c>
      <c r="P188">
        <v>1.6240000000000001</v>
      </c>
      <c r="Q188">
        <v>1.5649999999999999</v>
      </c>
      <c r="S188" s="16">
        <v>18</v>
      </c>
      <c r="T188">
        <v>1.55</v>
      </c>
      <c r="U188">
        <v>1.55</v>
      </c>
      <c r="V188">
        <v>1.54</v>
      </c>
      <c r="W188">
        <v>1.5369999999999999</v>
      </c>
      <c r="X188">
        <v>1.5269999999999999</v>
      </c>
      <c r="Y188">
        <v>1.4990000000000001</v>
      </c>
      <c r="Z188">
        <v>1.4990000000000001</v>
      </c>
      <c r="AB188" s="16">
        <v>18</v>
      </c>
      <c r="AC188">
        <v>1.6259999999999999</v>
      </c>
      <c r="AD188">
        <v>1.583</v>
      </c>
      <c r="AE188">
        <v>1.583</v>
      </c>
      <c r="AF188">
        <v>1.5780000000000001</v>
      </c>
      <c r="AG188">
        <v>1.5549999999999999</v>
      </c>
      <c r="AH188">
        <v>1.5349999999999999</v>
      </c>
      <c r="AI188">
        <v>1.504</v>
      </c>
    </row>
    <row r="189" spans="1:35" x14ac:dyDescent="0.4">
      <c r="A189" s="16">
        <v>18</v>
      </c>
      <c r="B189">
        <v>1.6339999999999999</v>
      </c>
      <c r="C189">
        <v>1.621</v>
      </c>
      <c r="D189">
        <v>1.6040000000000001</v>
      </c>
      <c r="E189">
        <v>1.583</v>
      </c>
      <c r="F189">
        <v>1.5680000000000001</v>
      </c>
      <c r="G189">
        <v>1.5509999999999999</v>
      </c>
      <c r="H189">
        <v>1.504</v>
      </c>
      <c r="I189" s="16"/>
      <c r="J189" s="16">
        <v>18</v>
      </c>
      <c r="K189" s="16">
        <v>1.7509999999999999</v>
      </c>
      <c r="L189">
        <v>1.7310000000000001</v>
      </c>
      <c r="M189">
        <v>1.7010000000000001</v>
      </c>
      <c r="N189">
        <v>1.675</v>
      </c>
      <c r="O189">
        <v>1.645</v>
      </c>
      <c r="P189">
        <v>1.621</v>
      </c>
      <c r="Q189">
        <v>1.548</v>
      </c>
      <c r="S189" s="16">
        <v>18</v>
      </c>
      <c r="T189">
        <v>1.55</v>
      </c>
      <c r="U189">
        <v>1.54</v>
      </c>
      <c r="V189">
        <v>1.5189999999999999</v>
      </c>
      <c r="W189">
        <v>1.5169999999999999</v>
      </c>
      <c r="X189">
        <v>1.5289999999999999</v>
      </c>
      <c r="Y189">
        <v>1.5089999999999999</v>
      </c>
      <c r="Z189">
        <v>1.4990000000000001</v>
      </c>
      <c r="AB189" s="16">
        <v>18</v>
      </c>
      <c r="AC189">
        <v>1.6259999999999999</v>
      </c>
      <c r="AD189">
        <v>1.5940000000000001</v>
      </c>
      <c r="AE189">
        <v>1.5940000000000001</v>
      </c>
      <c r="AF189">
        <v>1.581</v>
      </c>
      <c r="AG189">
        <v>1.5649999999999999</v>
      </c>
      <c r="AH189">
        <v>1.5649999999999999</v>
      </c>
      <c r="AI189">
        <v>1.5149999999999999</v>
      </c>
    </row>
    <row r="190" spans="1:35" x14ac:dyDescent="0.4">
      <c r="A190" s="16">
        <v>19</v>
      </c>
      <c r="B190">
        <v>1.6339999999999999</v>
      </c>
      <c r="C190">
        <v>1.621</v>
      </c>
      <c r="D190">
        <v>1.6040000000000001</v>
      </c>
      <c r="E190">
        <v>1.583</v>
      </c>
      <c r="F190">
        <v>1.5549999999999999</v>
      </c>
      <c r="G190">
        <v>1.5509999999999999</v>
      </c>
      <c r="H190">
        <v>1.5249999999999999</v>
      </c>
      <c r="I190" s="16"/>
      <c r="J190" s="16">
        <v>19</v>
      </c>
      <c r="K190" s="16">
        <v>1.748</v>
      </c>
      <c r="L190">
        <v>1.718</v>
      </c>
      <c r="M190">
        <v>1.6919999999999999</v>
      </c>
      <c r="N190">
        <v>1.6819999999999999</v>
      </c>
      <c r="O190">
        <v>1.645</v>
      </c>
      <c r="P190">
        <v>1.6180000000000001</v>
      </c>
      <c r="Q190">
        <v>1.5549999999999999</v>
      </c>
      <c r="S190" s="16">
        <v>19</v>
      </c>
      <c r="T190">
        <v>1.55</v>
      </c>
      <c r="U190">
        <v>1.55</v>
      </c>
      <c r="V190">
        <v>1.54</v>
      </c>
      <c r="W190">
        <v>1.5269999999999999</v>
      </c>
      <c r="X190">
        <v>1.5169999999999999</v>
      </c>
      <c r="Y190">
        <v>1.5089999999999999</v>
      </c>
      <c r="Z190">
        <v>1.4890000000000001</v>
      </c>
      <c r="AB190" s="16">
        <v>19</v>
      </c>
      <c r="AC190">
        <v>1.6259999999999999</v>
      </c>
      <c r="AD190">
        <v>1.6040000000000001</v>
      </c>
      <c r="AE190">
        <v>1.5760000000000001</v>
      </c>
      <c r="AF190">
        <v>1.5629999999999999</v>
      </c>
      <c r="AG190">
        <v>1.5549999999999999</v>
      </c>
      <c r="AH190">
        <v>1.5449999999999999</v>
      </c>
      <c r="AI190">
        <v>1.5149999999999999</v>
      </c>
    </row>
    <row r="191" spans="1:35" x14ac:dyDescent="0.4">
      <c r="A191" s="16">
        <v>19</v>
      </c>
      <c r="B191">
        <v>1.6240000000000001</v>
      </c>
      <c r="C191">
        <v>1.6240000000000001</v>
      </c>
      <c r="D191">
        <v>1.5940000000000001</v>
      </c>
      <c r="E191">
        <v>1.583</v>
      </c>
      <c r="F191">
        <v>1.5680000000000001</v>
      </c>
      <c r="G191">
        <v>1.548</v>
      </c>
      <c r="H191">
        <v>1.5169999999999999</v>
      </c>
      <c r="I191" s="16"/>
      <c r="J191" s="16">
        <v>19</v>
      </c>
      <c r="K191" s="16">
        <v>1.7509999999999999</v>
      </c>
      <c r="L191">
        <v>1.7210000000000001</v>
      </c>
      <c r="M191">
        <v>1.698</v>
      </c>
      <c r="N191">
        <v>1.669</v>
      </c>
      <c r="O191">
        <v>1.6339999999999999</v>
      </c>
      <c r="P191">
        <v>1.621</v>
      </c>
      <c r="Q191">
        <v>1.548</v>
      </c>
      <c r="S191" s="16">
        <v>19</v>
      </c>
      <c r="T191">
        <v>1.55</v>
      </c>
      <c r="U191">
        <v>1.55</v>
      </c>
      <c r="V191">
        <v>1.54</v>
      </c>
      <c r="W191">
        <v>1.5269999999999999</v>
      </c>
      <c r="X191">
        <v>1.5169999999999999</v>
      </c>
      <c r="Y191">
        <v>1.5089999999999999</v>
      </c>
      <c r="Z191">
        <v>1.4890000000000001</v>
      </c>
      <c r="AB191" s="16">
        <v>19</v>
      </c>
      <c r="AC191">
        <v>1.6259999999999999</v>
      </c>
      <c r="AD191">
        <v>1.5940000000000001</v>
      </c>
      <c r="AE191">
        <v>1.5940000000000001</v>
      </c>
      <c r="AF191">
        <v>1.5780000000000001</v>
      </c>
      <c r="AG191">
        <v>1.5649999999999999</v>
      </c>
      <c r="AH191">
        <v>1.5349999999999999</v>
      </c>
      <c r="AI191">
        <v>1.512</v>
      </c>
    </row>
    <row r="192" spans="1:35" x14ac:dyDescent="0.4">
      <c r="A192" s="16">
        <v>20</v>
      </c>
      <c r="B192">
        <v>1.6339999999999999</v>
      </c>
      <c r="C192">
        <v>1.621</v>
      </c>
      <c r="D192">
        <v>1.5940000000000001</v>
      </c>
      <c r="E192">
        <v>1.5780000000000001</v>
      </c>
      <c r="F192">
        <v>1.5680000000000001</v>
      </c>
      <c r="G192">
        <v>1.538</v>
      </c>
      <c r="H192">
        <v>1.5169999999999999</v>
      </c>
      <c r="I192" s="16"/>
      <c r="J192" s="16">
        <v>20</v>
      </c>
      <c r="K192" s="16">
        <v>1.7509999999999999</v>
      </c>
      <c r="L192">
        <v>1.7210000000000001</v>
      </c>
      <c r="M192">
        <v>1.6950000000000001</v>
      </c>
      <c r="N192">
        <v>1.665</v>
      </c>
      <c r="O192">
        <v>1.6419999999999999</v>
      </c>
      <c r="P192">
        <v>1.621</v>
      </c>
      <c r="Q192">
        <v>1.548</v>
      </c>
      <c r="S192" s="16">
        <v>20</v>
      </c>
      <c r="T192">
        <v>1.55</v>
      </c>
      <c r="U192">
        <v>1.55</v>
      </c>
      <c r="V192">
        <v>1.5289999999999999</v>
      </c>
      <c r="W192">
        <v>1.5189999999999999</v>
      </c>
      <c r="X192">
        <v>1.5169999999999999</v>
      </c>
      <c r="Y192">
        <v>1.5089999999999999</v>
      </c>
      <c r="Z192">
        <v>1.4890000000000001</v>
      </c>
      <c r="AB192" s="16">
        <v>20</v>
      </c>
      <c r="AC192">
        <v>1.6160000000000001</v>
      </c>
      <c r="AD192">
        <v>1.581</v>
      </c>
      <c r="AE192">
        <v>1.5940000000000001</v>
      </c>
      <c r="AF192">
        <v>1.5780000000000001</v>
      </c>
      <c r="AG192">
        <v>1.5649999999999999</v>
      </c>
      <c r="AH192">
        <v>1.5349999999999999</v>
      </c>
      <c r="AI192">
        <v>1.494</v>
      </c>
    </row>
    <row r="193" spans="1:35" x14ac:dyDescent="0.4">
      <c r="A193" s="16">
        <v>20</v>
      </c>
      <c r="B193">
        <v>1.6339999999999999</v>
      </c>
      <c r="C193">
        <v>1.6140000000000001</v>
      </c>
      <c r="D193">
        <v>1.5960000000000001</v>
      </c>
      <c r="E193">
        <v>1.5760000000000001</v>
      </c>
      <c r="F193">
        <v>1.5760000000000001</v>
      </c>
      <c r="G193">
        <v>1.5449999999999999</v>
      </c>
      <c r="H193">
        <v>1.5169999999999999</v>
      </c>
      <c r="I193" s="16"/>
      <c r="J193" s="16">
        <v>20</v>
      </c>
      <c r="K193" s="16">
        <v>1.748</v>
      </c>
      <c r="L193">
        <v>1.718</v>
      </c>
      <c r="M193">
        <v>1.7110000000000001</v>
      </c>
      <c r="N193">
        <v>1.675</v>
      </c>
      <c r="O193">
        <v>1.645</v>
      </c>
      <c r="P193">
        <v>1.631</v>
      </c>
      <c r="Q193">
        <v>1.5649999999999999</v>
      </c>
      <c r="S193" s="16">
        <v>20</v>
      </c>
      <c r="T193">
        <v>1.55</v>
      </c>
      <c r="U193">
        <v>1.55</v>
      </c>
      <c r="V193">
        <v>1.5289999999999999</v>
      </c>
      <c r="W193">
        <v>1.54</v>
      </c>
      <c r="X193">
        <v>1.522</v>
      </c>
      <c r="Y193">
        <v>1.5089999999999999</v>
      </c>
      <c r="Z193">
        <v>1.4890000000000001</v>
      </c>
      <c r="AB193" s="16">
        <v>20</v>
      </c>
      <c r="AC193">
        <v>1.613</v>
      </c>
      <c r="AD193">
        <v>1.583</v>
      </c>
      <c r="AE193">
        <v>1.6040000000000001</v>
      </c>
      <c r="AF193">
        <v>1.5780000000000001</v>
      </c>
      <c r="AG193">
        <v>1.5580000000000001</v>
      </c>
      <c r="AH193">
        <v>1.548</v>
      </c>
      <c r="AI193">
        <v>1.5149999999999999</v>
      </c>
    </row>
    <row r="194" spans="1:35" x14ac:dyDescent="0.4">
      <c r="A194" s="16">
        <v>21</v>
      </c>
      <c r="B194">
        <v>1.6240000000000001</v>
      </c>
      <c r="C194">
        <v>1.6240000000000001</v>
      </c>
      <c r="D194">
        <v>1.5940000000000001</v>
      </c>
      <c r="E194">
        <v>1.581</v>
      </c>
      <c r="F194">
        <v>1.5760000000000001</v>
      </c>
      <c r="G194">
        <v>1.5580000000000001</v>
      </c>
      <c r="H194">
        <v>1.5269999999999999</v>
      </c>
      <c r="I194" s="16"/>
      <c r="J194" s="16">
        <v>21</v>
      </c>
      <c r="K194" s="16">
        <v>1.748</v>
      </c>
      <c r="L194">
        <v>1.718</v>
      </c>
      <c r="M194">
        <v>1.7110000000000001</v>
      </c>
      <c r="N194">
        <v>1.675</v>
      </c>
      <c r="O194">
        <v>1.6419999999999999</v>
      </c>
      <c r="P194">
        <v>1.621</v>
      </c>
      <c r="Q194">
        <v>1.5580000000000001</v>
      </c>
      <c r="S194" s="16">
        <v>21</v>
      </c>
      <c r="T194">
        <v>1.56</v>
      </c>
      <c r="U194">
        <v>1.55</v>
      </c>
      <c r="V194">
        <v>1.54</v>
      </c>
      <c r="W194">
        <v>1.54</v>
      </c>
      <c r="X194">
        <v>1.522</v>
      </c>
      <c r="Y194">
        <v>1.5089999999999999</v>
      </c>
      <c r="Z194">
        <v>1.4890000000000001</v>
      </c>
      <c r="AB194" s="16">
        <v>21</v>
      </c>
      <c r="AC194">
        <v>1.6160000000000001</v>
      </c>
      <c r="AD194">
        <v>1.583</v>
      </c>
      <c r="AE194">
        <v>1.583</v>
      </c>
      <c r="AF194">
        <v>1.5780000000000001</v>
      </c>
      <c r="AG194">
        <v>1.5580000000000001</v>
      </c>
      <c r="AH194">
        <v>1.548</v>
      </c>
      <c r="AI194">
        <v>1.5249999999999999</v>
      </c>
    </row>
    <row r="195" spans="1:35" x14ac:dyDescent="0.4">
      <c r="A195" s="16">
        <v>21</v>
      </c>
      <c r="B195">
        <v>1.6339999999999999</v>
      </c>
      <c r="C195">
        <v>1.6240000000000001</v>
      </c>
      <c r="D195">
        <v>1.5780000000000001</v>
      </c>
      <c r="E195">
        <v>1.5780000000000001</v>
      </c>
      <c r="F195">
        <v>1.5549999999999999</v>
      </c>
      <c r="G195">
        <v>1.5580000000000001</v>
      </c>
      <c r="H195">
        <v>1.5169999999999999</v>
      </c>
      <c r="I195" s="16"/>
      <c r="J195" s="16">
        <v>21</v>
      </c>
      <c r="K195" s="16">
        <v>1.748</v>
      </c>
      <c r="L195">
        <v>1.7310000000000001</v>
      </c>
      <c r="M195">
        <v>1.698</v>
      </c>
      <c r="N195">
        <v>1.665</v>
      </c>
      <c r="O195">
        <v>1.6419999999999999</v>
      </c>
      <c r="P195">
        <v>1.631</v>
      </c>
      <c r="Q195">
        <v>1.5549999999999999</v>
      </c>
      <c r="S195" s="16">
        <v>21</v>
      </c>
      <c r="T195">
        <v>1.552</v>
      </c>
      <c r="U195">
        <v>1.55</v>
      </c>
      <c r="V195">
        <v>1.54</v>
      </c>
      <c r="W195">
        <v>1.5169999999999999</v>
      </c>
      <c r="X195">
        <v>1.5189999999999999</v>
      </c>
      <c r="Y195">
        <v>1.5089999999999999</v>
      </c>
      <c r="Z195">
        <v>1.4890000000000001</v>
      </c>
      <c r="AB195" s="16">
        <v>21</v>
      </c>
      <c r="AC195">
        <v>1.6359999999999999</v>
      </c>
      <c r="AD195">
        <v>1.5960000000000001</v>
      </c>
      <c r="AE195">
        <v>1.5940000000000001</v>
      </c>
      <c r="AF195">
        <v>1.5760000000000001</v>
      </c>
      <c r="AG195">
        <v>1.5780000000000001</v>
      </c>
      <c r="AH195">
        <v>1.532</v>
      </c>
      <c r="AI195">
        <v>1.5249999999999999</v>
      </c>
    </row>
    <row r="196" spans="1:35" x14ac:dyDescent="0.4">
      <c r="A196" s="16">
        <v>22</v>
      </c>
      <c r="B196">
        <v>1.6339999999999999</v>
      </c>
      <c r="C196">
        <v>1.621</v>
      </c>
      <c r="D196">
        <v>1.5780000000000001</v>
      </c>
      <c r="E196">
        <v>1.5760000000000001</v>
      </c>
      <c r="F196">
        <v>1.571</v>
      </c>
      <c r="G196">
        <v>1.548</v>
      </c>
      <c r="H196">
        <v>1.5169999999999999</v>
      </c>
      <c r="I196" s="16"/>
      <c r="J196" s="16">
        <v>22</v>
      </c>
      <c r="K196" s="16">
        <v>1.748</v>
      </c>
      <c r="L196">
        <v>1.7310000000000001</v>
      </c>
      <c r="M196">
        <v>1.698</v>
      </c>
      <c r="N196">
        <v>1.665</v>
      </c>
      <c r="O196">
        <v>1.6519999999999999</v>
      </c>
      <c r="P196">
        <v>1.611</v>
      </c>
      <c r="Q196">
        <v>1.5580000000000001</v>
      </c>
      <c r="S196" s="16">
        <v>22</v>
      </c>
      <c r="T196">
        <v>1.55</v>
      </c>
      <c r="U196">
        <v>1.552</v>
      </c>
      <c r="V196">
        <v>1.5289999999999999</v>
      </c>
      <c r="W196">
        <v>1.5169999999999999</v>
      </c>
      <c r="X196">
        <v>1.5289999999999999</v>
      </c>
      <c r="Y196">
        <v>1.5089999999999999</v>
      </c>
      <c r="Z196">
        <v>1.4890000000000001</v>
      </c>
      <c r="AB196" s="16">
        <v>22</v>
      </c>
      <c r="AC196">
        <v>1.6160000000000001</v>
      </c>
      <c r="AD196">
        <v>1.5940000000000001</v>
      </c>
      <c r="AE196">
        <v>1.5940000000000001</v>
      </c>
      <c r="AF196">
        <v>1.5760000000000001</v>
      </c>
      <c r="AG196">
        <v>1.5649999999999999</v>
      </c>
      <c r="AH196">
        <v>1.542</v>
      </c>
      <c r="AI196">
        <v>1.504</v>
      </c>
    </row>
    <row r="197" spans="1:35" x14ac:dyDescent="0.4">
      <c r="A197" s="16">
        <v>22</v>
      </c>
      <c r="B197">
        <v>1.6339999999999999</v>
      </c>
      <c r="C197">
        <v>1.611</v>
      </c>
      <c r="D197">
        <v>1.5940000000000001</v>
      </c>
      <c r="E197">
        <v>1.5760000000000001</v>
      </c>
      <c r="F197">
        <v>1.5680000000000001</v>
      </c>
      <c r="G197">
        <v>1.5449999999999999</v>
      </c>
      <c r="H197">
        <v>1.5269999999999999</v>
      </c>
      <c r="I197" s="16"/>
      <c r="J197" s="16">
        <v>22</v>
      </c>
      <c r="K197" s="16">
        <v>1.7509999999999999</v>
      </c>
      <c r="L197">
        <v>1.728</v>
      </c>
      <c r="M197">
        <v>1.6919999999999999</v>
      </c>
      <c r="N197">
        <v>1.665</v>
      </c>
      <c r="O197">
        <v>1.6519999999999999</v>
      </c>
      <c r="P197">
        <v>1.611</v>
      </c>
      <c r="Q197">
        <v>1.5580000000000001</v>
      </c>
      <c r="S197" s="16">
        <v>22</v>
      </c>
      <c r="T197">
        <v>1.55</v>
      </c>
      <c r="U197">
        <v>1.552</v>
      </c>
      <c r="V197">
        <v>1.5289999999999999</v>
      </c>
      <c r="W197">
        <v>1.506</v>
      </c>
      <c r="X197">
        <v>1.5189999999999999</v>
      </c>
      <c r="Y197">
        <v>1.5089999999999999</v>
      </c>
      <c r="Z197">
        <v>1.4890000000000001</v>
      </c>
      <c r="AB197" s="16">
        <v>22</v>
      </c>
      <c r="AC197">
        <v>1.6160000000000001</v>
      </c>
      <c r="AD197">
        <v>1.5940000000000001</v>
      </c>
      <c r="AE197">
        <v>1.5780000000000001</v>
      </c>
      <c r="AF197">
        <v>1.5760000000000001</v>
      </c>
      <c r="AG197">
        <v>1.5649999999999999</v>
      </c>
      <c r="AH197">
        <v>1.5549999999999999</v>
      </c>
      <c r="AI197">
        <v>1.504</v>
      </c>
    </row>
    <row r="198" spans="1:35" x14ac:dyDescent="0.4">
      <c r="A198" s="16">
        <v>23</v>
      </c>
      <c r="B198">
        <v>1.6240000000000001</v>
      </c>
      <c r="C198">
        <v>1.6240000000000001</v>
      </c>
      <c r="D198">
        <v>1.5940000000000001</v>
      </c>
      <c r="E198">
        <v>1.583</v>
      </c>
      <c r="F198">
        <v>1.5680000000000001</v>
      </c>
      <c r="G198">
        <v>1.5580000000000001</v>
      </c>
      <c r="H198">
        <v>1.5169999999999999</v>
      </c>
      <c r="I198" s="16"/>
      <c r="J198" s="16">
        <v>23</v>
      </c>
      <c r="K198" s="16">
        <v>1.738</v>
      </c>
      <c r="L198">
        <v>1.728</v>
      </c>
      <c r="M198">
        <v>1.698</v>
      </c>
      <c r="N198">
        <v>1.6819999999999999</v>
      </c>
      <c r="O198">
        <v>1.631</v>
      </c>
      <c r="P198">
        <v>1.621</v>
      </c>
      <c r="Q198">
        <v>1.5580000000000001</v>
      </c>
      <c r="S198" s="16">
        <v>23</v>
      </c>
      <c r="T198">
        <v>1.55</v>
      </c>
      <c r="U198">
        <v>1.55</v>
      </c>
      <c r="V198">
        <v>1.54</v>
      </c>
      <c r="W198">
        <v>1.5269999999999999</v>
      </c>
      <c r="X198">
        <v>1.5189999999999999</v>
      </c>
      <c r="Y198">
        <v>1.506</v>
      </c>
      <c r="Z198">
        <v>1.4990000000000001</v>
      </c>
      <c r="AB198" s="16">
        <v>23</v>
      </c>
      <c r="AC198">
        <v>1.623</v>
      </c>
      <c r="AD198">
        <v>1.591</v>
      </c>
      <c r="AE198">
        <v>1.583</v>
      </c>
      <c r="AF198">
        <v>1.581</v>
      </c>
      <c r="AG198">
        <v>1.5649999999999999</v>
      </c>
      <c r="AH198">
        <v>1.5449999999999999</v>
      </c>
      <c r="AI198">
        <v>1.5169999999999999</v>
      </c>
    </row>
    <row r="199" spans="1:35" x14ac:dyDescent="0.4">
      <c r="A199" s="16">
        <v>23</v>
      </c>
      <c r="B199">
        <v>1.631</v>
      </c>
      <c r="C199">
        <v>1.6240000000000001</v>
      </c>
      <c r="D199">
        <v>1.5940000000000001</v>
      </c>
      <c r="E199">
        <v>1.583</v>
      </c>
      <c r="F199">
        <v>1.5780000000000001</v>
      </c>
      <c r="G199">
        <v>1.5580000000000001</v>
      </c>
      <c r="H199">
        <v>1.5269999999999999</v>
      </c>
      <c r="I199" s="16"/>
      <c r="J199" s="16">
        <v>23</v>
      </c>
      <c r="K199" s="16">
        <v>1.7450000000000001</v>
      </c>
      <c r="L199">
        <v>1.728</v>
      </c>
      <c r="M199">
        <v>1.698</v>
      </c>
      <c r="N199">
        <v>1.665</v>
      </c>
      <c r="O199">
        <v>1.6419999999999999</v>
      </c>
      <c r="P199">
        <v>1.621</v>
      </c>
      <c r="Q199">
        <v>1.548</v>
      </c>
      <c r="S199" s="16">
        <v>23</v>
      </c>
      <c r="T199">
        <v>1.55</v>
      </c>
      <c r="U199">
        <v>1.55</v>
      </c>
      <c r="V199">
        <v>1.532</v>
      </c>
      <c r="W199">
        <v>1.5269999999999999</v>
      </c>
      <c r="X199">
        <v>1.5189999999999999</v>
      </c>
      <c r="Y199">
        <v>1.5089999999999999</v>
      </c>
      <c r="Z199">
        <v>1.4990000000000001</v>
      </c>
      <c r="AB199" s="16">
        <v>23</v>
      </c>
      <c r="AC199">
        <v>1.623</v>
      </c>
      <c r="AD199">
        <v>1.5940000000000001</v>
      </c>
      <c r="AE199">
        <v>1.581</v>
      </c>
      <c r="AF199">
        <v>1.583</v>
      </c>
      <c r="AG199">
        <v>1.5649999999999999</v>
      </c>
      <c r="AH199">
        <v>1.5449999999999999</v>
      </c>
      <c r="AI199">
        <v>1.5149999999999999</v>
      </c>
    </row>
    <row r="200" spans="1:35" x14ac:dyDescent="0.4">
      <c r="A200" s="16">
        <v>24</v>
      </c>
      <c r="B200">
        <v>1.6240000000000001</v>
      </c>
      <c r="C200">
        <v>1.631</v>
      </c>
      <c r="D200">
        <v>1.5940000000000001</v>
      </c>
      <c r="E200">
        <v>1.583</v>
      </c>
      <c r="F200">
        <v>1.5649999999999999</v>
      </c>
      <c r="G200">
        <v>1.548</v>
      </c>
      <c r="H200">
        <v>1.5269999999999999</v>
      </c>
      <c r="I200" s="16"/>
      <c r="J200" s="16">
        <v>24</v>
      </c>
      <c r="K200" s="16">
        <v>1.7450000000000001</v>
      </c>
      <c r="L200">
        <v>1.7210000000000001</v>
      </c>
      <c r="M200">
        <v>1.698</v>
      </c>
      <c r="N200">
        <v>1.675</v>
      </c>
      <c r="O200">
        <v>1.645</v>
      </c>
      <c r="P200">
        <v>1.621</v>
      </c>
      <c r="Q200">
        <v>1.548</v>
      </c>
      <c r="S200" s="16">
        <v>24</v>
      </c>
      <c r="T200">
        <v>1.55</v>
      </c>
      <c r="U200">
        <v>1.55</v>
      </c>
      <c r="V200">
        <v>1.54</v>
      </c>
      <c r="W200">
        <v>1.5169999999999999</v>
      </c>
      <c r="X200">
        <v>1.506</v>
      </c>
      <c r="Y200">
        <v>1.5089999999999999</v>
      </c>
      <c r="Z200">
        <v>1.4990000000000001</v>
      </c>
      <c r="AB200" s="16">
        <v>24</v>
      </c>
      <c r="AC200">
        <v>1.6160000000000001</v>
      </c>
      <c r="AD200">
        <v>1.5940000000000001</v>
      </c>
      <c r="AE200">
        <v>1.591</v>
      </c>
      <c r="AF200">
        <v>1.5760000000000001</v>
      </c>
      <c r="AG200">
        <v>1.5549999999999999</v>
      </c>
      <c r="AH200">
        <v>1.5449999999999999</v>
      </c>
      <c r="AI200">
        <v>1.5149999999999999</v>
      </c>
    </row>
    <row r="201" spans="1:35" x14ac:dyDescent="0.4">
      <c r="A201" s="16">
        <v>24</v>
      </c>
      <c r="B201">
        <v>1.6140000000000001</v>
      </c>
      <c r="C201">
        <v>1.621</v>
      </c>
      <c r="D201">
        <v>1.5860000000000001</v>
      </c>
      <c r="E201">
        <v>1.591</v>
      </c>
      <c r="F201">
        <v>1.5649999999999999</v>
      </c>
      <c r="G201">
        <v>1.548</v>
      </c>
      <c r="H201">
        <v>1.5269999999999999</v>
      </c>
      <c r="I201" s="16"/>
      <c r="J201" s="16">
        <v>24</v>
      </c>
      <c r="K201" s="16">
        <v>1.738</v>
      </c>
      <c r="L201">
        <v>1.718</v>
      </c>
      <c r="M201">
        <v>1.698</v>
      </c>
      <c r="N201">
        <v>1.675</v>
      </c>
      <c r="O201">
        <v>1.655</v>
      </c>
      <c r="P201">
        <v>1.6140000000000001</v>
      </c>
      <c r="Q201">
        <v>1.548</v>
      </c>
      <c r="S201" s="16">
        <v>24</v>
      </c>
      <c r="T201">
        <v>1.55</v>
      </c>
      <c r="U201">
        <v>1.54</v>
      </c>
      <c r="V201">
        <v>1.5289999999999999</v>
      </c>
      <c r="W201">
        <v>1.5289999999999999</v>
      </c>
      <c r="X201">
        <v>1.5189999999999999</v>
      </c>
      <c r="Y201">
        <v>1.5089999999999999</v>
      </c>
      <c r="Z201">
        <v>1.4890000000000001</v>
      </c>
      <c r="AB201" s="16">
        <v>24</v>
      </c>
      <c r="AC201">
        <v>1.6259999999999999</v>
      </c>
      <c r="AD201">
        <v>1.5860000000000001</v>
      </c>
      <c r="AE201">
        <v>1.583</v>
      </c>
      <c r="AF201">
        <v>1.5760000000000001</v>
      </c>
      <c r="AG201">
        <v>1.5649999999999999</v>
      </c>
      <c r="AH201">
        <v>1.5580000000000001</v>
      </c>
      <c r="AI201">
        <v>1.5149999999999999</v>
      </c>
    </row>
    <row r="202" spans="1:35" x14ac:dyDescent="0.4">
      <c r="A202" s="16">
        <v>25</v>
      </c>
      <c r="B202">
        <v>1.627</v>
      </c>
      <c r="C202">
        <v>1.6240000000000001</v>
      </c>
      <c r="D202">
        <v>1.5940000000000001</v>
      </c>
      <c r="E202">
        <v>1.583</v>
      </c>
      <c r="F202">
        <v>1.5649999999999999</v>
      </c>
      <c r="G202">
        <v>1.5449999999999999</v>
      </c>
      <c r="H202">
        <v>1.51</v>
      </c>
      <c r="I202" s="16"/>
      <c r="J202" s="16">
        <v>25</v>
      </c>
      <c r="K202" s="16">
        <v>1.748</v>
      </c>
      <c r="L202">
        <v>1.718</v>
      </c>
      <c r="M202">
        <v>1.698</v>
      </c>
      <c r="N202">
        <v>1.6819999999999999</v>
      </c>
      <c r="O202">
        <v>1.637</v>
      </c>
      <c r="P202">
        <v>1.631</v>
      </c>
      <c r="Q202">
        <v>1.5580000000000001</v>
      </c>
      <c r="S202" s="16">
        <v>25</v>
      </c>
      <c r="T202">
        <v>1.55</v>
      </c>
      <c r="U202">
        <v>1.54</v>
      </c>
      <c r="V202">
        <v>1.5289999999999999</v>
      </c>
      <c r="W202">
        <v>1.5289999999999999</v>
      </c>
      <c r="X202">
        <v>1.5189999999999999</v>
      </c>
      <c r="Y202">
        <v>1.5089999999999999</v>
      </c>
      <c r="Z202">
        <v>1.4990000000000001</v>
      </c>
      <c r="AB202" s="16">
        <v>25</v>
      </c>
      <c r="AC202">
        <v>1.6259999999999999</v>
      </c>
      <c r="AD202">
        <v>1.583</v>
      </c>
      <c r="AE202">
        <v>1.583</v>
      </c>
      <c r="AF202">
        <v>1.5760000000000001</v>
      </c>
      <c r="AG202">
        <v>1.5649999999999999</v>
      </c>
      <c r="AH202">
        <v>1.538</v>
      </c>
      <c r="AI202">
        <v>1.5169999999999999</v>
      </c>
    </row>
    <row r="203" spans="1:35" x14ac:dyDescent="0.4">
      <c r="A203" s="16">
        <v>25</v>
      </c>
      <c r="B203">
        <v>1.627</v>
      </c>
      <c r="C203">
        <v>1.6240000000000001</v>
      </c>
      <c r="D203">
        <v>1.6040000000000001</v>
      </c>
      <c r="E203">
        <v>1.583</v>
      </c>
      <c r="F203">
        <v>1.5649999999999999</v>
      </c>
      <c r="G203">
        <v>1.5449999999999999</v>
      </c>
      <c r="H203">
        <v>1.5169999999999999</v>
      </c>
      <c r="I203" s="16"/>
      <c r="J203" s="16">
        <v>25</v>
      </c>
      <c r="K203" s="16">
        <v>1.7509999999999999</v>
      </c>
      <c r="L203">
        <v>1.7210000000000001</v>
      </c>
      <c r="M203">
        <v>1.7010000000000001</v>
      </c>
      <c r="N203">
        <v>1.6819999999999999</v>
      </c>
      <c r="O203">
        <v>1.637</v>
      </c>
      <c r="P203">
        <v>1.631</v>
      </c>
      <c r="Q203">
        <v>1.5649999999999999</v>
      </c>
      <c r="S203" s="16">
        <v>25</v>
      </c>
      <c r="T203">
        <v>1.56</v>
      </c>
      <c r="U203">
        <v>1.55</v>
      </c>
      <c r="V203">
        <v>1.5289999999999999</v>
      </c>
      <c r="W203">
        <v>1.5189999999999999</v>
      </c>
      <c r="X203">
        <v>1.5189999999999999</v>
      </c>
      <c r="Y203">
        <v>1.5189999999999999</v>
      </c>
      <c r="Z203">
        <v>1.4990000000000001</v>
      </c>
      <c r="AB203" s="16">
        <v>25</v>
      </c>
      <c r="AC203">
        <v>1.6259999999999999</v>
      </c>
      <c r="AD203">
        <v>1.583</v>
      </c>
      <c r="AE203">
        <v>1.5940000000000001</v>
      </c>
      <c r="AF203">
        <v>1.5629999999999999</v>
      </c>
      <c r="AG203">
        <v>1.5649999999999999</v>
      </c>
      <c r="AH203">
        <v>1.5549999999999999</v>
      </c>
      <c r="AI203">
        <v>1.5149999999999999</v>
      </c>
    </row>
    <row r="204" spans="1:35" x14ac:dyDescent="0.4">
      <c r="A204" s="16">
        <v>26</v>
      </c>
      <c r="B204">
        <v>1.6240000000000001</v>
      </c>
      <c r="C204">
        <v>1.621</v>
      </c>
      <c r="D204">
        <v>1.5780000000000001</v>
      </c>
      <c r="E204">
        <v>1.5780000000000001</v>
      </c>
      <c r="F204">
        <v>1.5549999999999999</v>
      </c>
      <c r="G204">
        <v>1.548</v>
      </c>
      <c r="H204">
        <v>1.5169999999999999</v>
      </c>
      <c r="I204" s="16"/>
      <c r="J204" s="16">
        <v>26</v>
      </c>
      <c r="K204" s="16">
        <v>1.748</v>
      </c>
      <c r="L204">
        <v>1.728</v>
      </c>
      <c r="M204">
        <v>1.708</v>
      </c>
      <c r="N204">
        <v>1.6619999999999999</v>
      </c>
      <c r="O204">
        <v>1.645</v>
      </c>
      <c r="P204">
        <v>1.631</v>
      </c>
      <c r="Q204">
        <v>1.5649999999999999</v>
      </c>
      <c r="S204" s="16">
        <v>26</v>
      </c>
      <c r="T204">
        <v>1.5629999999999999</v>
      </c>
      <c r="U204">
        <v>1.55</v>
      </c>
      <c r="V204">
        <v>1.54</v>
      </c>
      <c r="W204">
        <v>1.534</v>
      </c>
      <c r="X204">
        <v>1.5169999999999999</v>
      </c>
      <c r="Y204">
        <v>1.5089999999999999</v>
      </c>
      <c r="Z204">
        <v>1.4990000000000001</v>
      </c>
      <c r="AB204" s="16">
        <v>26</v>
      </c>
      <c r="AC204">
        <v>1.6259999999999999</v>
      </c>
      <c r="AD204">
        <v>1.583</v>
      </c>
      <c r="AE204">
        <v>1.583</v>
      </c>
      <c r="AF204">
        <v>1.5760000000000001</v>
      </c>
      <c r="AG204">
        <v>1.5680000000000001</v>
      </c>
      <c r="AH204">
        <v>1.5629999999999999</v>
      </c>
      <c r="AI204">
        <v>1.5169999999999999</v>
      </c>
    </row>
    <row r="205" spans="1:35" x14ac:dyDescent="0.4">
      <c r="A205" s="16">
        <v>26</v>
      </c>
      <c r="B205">
        <v>1.6240000000000001</v>
      </c>
      <c r="C205">
        <v>1.621</v>
      </c>
      <c r="D205">
        <v>1.583</v>
      </c>
      <c r="E205">
        <v>1.5780000000000001</v>
      </c>
      <c r="F205">
        <v>1.5549999999999999</v>
      </c>
      <c r="G205">
        <v>1.548</v>
      </c>
      <c r="H205">
        <v>1.52</v>
      </c>
      <c r="I205" s="16"/>
      <c r="J205" s="16">
        <v>26</v>
      </c>
      <c r="K205" s="16">
        <v>1.748</v>
      </c>
      <c r="L205">
        <v>1.7310000000000001</v>
      </c>
      <c r="M205">
        <v>1.6919999999999999</v>
      </c>
      <c r="N205">
        <v>1.6819999999999999</v>
      </c>
      <c r="O205">
        <v>1.645</v>
      </c>
      <c r="P205">
        <v>1.621</v>
      </c>
      <c r="Q205">
        <v>1.5580000000000001</v>
      </c>
      <c r="S205" s="16">
        <v>26</v>
      </c>
      <c r="T205">
        <v>1.5629999999999999</v>
      </c>
      <c r="U205">
        <v>1.54</v>
      </c>
      <c r="V205">
        <v>1.55</v>
      </c>
      <c r="W205">
        <v>1.5169999999999999</v>
      </c>
      <c r="X205">
        <v>1.5189999999999999</v>
      </c>
      <c r="Y205">
        <v>1.5089999999999999</v>
      </c>
      <c r="Z205">
        <v>1.486</v>
      </c>
      <c r="AB205" s="16">
        <v>26</v>
      </c>
      <c r="AC205">
        <v>1.6259999999999999</v>
      </c>
      <c r="AD205">
        <v>1.5940000000000001</v>
      </c>
      <c r="AE205">
        <v>1.583</v>
      </c>
      <c r="AF205">
        <v>1.5760000000000001</v>
      </c>
      <c r="AG205">
        <v>1.5680000000000001</v>
      </c>
      <c r="AH205">
        <v>1.5549999999999999</v>
      </c>
      <c r="AI205">
        <v>1.5149999999999999</v>
      </c>
    </row>
    <row r="206" spans="1:35" x14ac:dyDescent="0.4">
      <c r="A206" s="16">
        <v>27</v>
      </c>
      <c r="B206">
        <v>1.6339999999999999</v>
      </c>
      <c r="C206">
        <v>1.621</v>
      </c>
      <c r="D206">
        <v>1.583</v>
      </c>
      <c r="E206">
        <v>1.583</v>
      </c>
      <c r="F206">
        <v>1.5680000000000001</v>
      </c>
      <c r="G206">
        <v>1.538</v>
      </c>
      <c r="H206">
        <v>1.52</v>
      </c>
      <c r="I206" s="16"/>
      <c r="J206" s="16">
        <v>27</v>
      </c>
      <c r="K206" s="16">
        <v>1.762</v>
      </c>
      <c r="L206">
        <v>1.7210000000000001</v>
      </c>
      <c r="M206">
        <v>1.698</v>
      </c>
      <c r="N206">
        <v>1.675</v>
      </c>
      <c r="O206">
        <v>1.645</v>
      </c>
      <c r="P206">
        <v>1.621</v>
      </c>
      <c r="Q206">
        <v>1.5549999999999999</v>
      </c>
      <c r="S206" s="16">
        <v>27</v>
      </c>
      <c r="T206">
        <v>1.56</v>
      </c>
      <c r="U206">
        <v>1.55</v>
      </c>
      <c r="V206">
        <v>1.5289999999999999</v>
      </c>
      <c r="W206">
        <v>1.534</v>
      </c>
      <c r="X206">
        <v>1.506</v>
      </c>
      <c r="Y206">
        <v>1.506</v>
      </c>
      <c r="Z206">
        <v>1.486</v>
      </c>
      <c r="AB206" s="16">
        <v>27</v>
      </c>
      <c r="AC206">
        <v>1.6160000000000001</v>
      </c>
      <c r="AD206">
        <v>1.5940000000000001</v>
      </c>
      <c r="AE206">
        <v>1.6040000000000001</v>
      </c>
      <c r="AF206">
        <v>1.581</v>
      </c>
      <c r="AG206">
        <v>1.5549999999999999</v>
      </c>
      <c r="AH206">
        <v>1.5549999999999999</v>
      </c>
      <c r="AI206">
        <v>1.5269999999999999</v>
      </c>
    </row>
    <row r="207" spans="1:35" x14ac:dyDescent="0.4">
      <c r="A207" s="16">
        <v>27</v>
      </c>
      <c r="B207">
        <v>1.6419999999999999</v>
      </c>
      <c r="C207">
        <v>1.6240000000000001</v>
      </c>
      <c r="D207">
        <v>1.5940000000000001</v>
      </c>
      <c r="E207">
        <v>1.5780000000000001</v>
      </c>
      <c r="F207">
        <v>1.581</v>
      </c>
      <c r="G207">
        <v>1.548</v>
      </c>
      <c r="H207">
        <v>1.5269999999999999</v>
      </c>
      <c r="I207" s="16"/>
      <c r="J207" s="16">
        <v>27</v>
      </c>
      <c r="K207" s="16">
        <v>1.7589999999999999</v>
      </c>
      <c r="L207">
        <v>1.7210000000000001</v>
      </c>
      <c r="M207">
        <v>1.7010000000000001</v>
      </c>
      <c r="N207">
        <v>1.675</v>
      </c>
      <c r="O207">
        <v>1.645</v>
      </c>
      <c r="P207">
        <v>1.621</v>
      </c>
      <c r="Q207">
        <v>1.5549999999999999</v>
      </c>
      <c r="S207" s="16">
        <v>27</v>
      </c>
      <c r="T207">
        <v>1.54</v>
      </c>
      <c r="U207">
        <v>1.54</v>
      </c>
      <c r="V207">
        <v>1.54</v>
      </c>
      <c r="W207">
        <v>1.534</v>
      </c>
      <c r="X207">
        <v>1.506</v>
      </c>
      <c r="Y207">
        <v>1.5089999999999999</v>
      </c>
      <c r="Z207">
        <v>1.4990000000000001</v>
      </c>
      <c r="AB207" s="16">
        <v>27</v>
      </c>
      <c r="AC207">
        <v>1.6259999999999999</v>
      </c>
      <c r="AD207">
        <v>1.5960000000000001</v>
      </c>
      <c r="AE207">
        <v>1.583</v>
      </c>
      <c r="AF207">
        <v>1.5760000000000001</v>
      </c>
      <c r="AG207">
        <v>1.5649999999999999</v>
      </c>
      <c r="AH207">
        <v>1.5549999999999999</v>
      </c>
      <c r="AI207">
        <v>1.504</v>
      </c>
    </row>
    <row r="208" spans="1:35" x14ac:dyDescent="0.4">
      <c r="A208" s="16">
        <v>28</v>
      </c>
      <c r="B208">
        <v>1.6339999999999999</v>
      </c>
      <c r="C208">
        <v>1.6240000000000001</v>
      </c>
      <c r="D208">
        <v>1.583</v>
      </c>
      <c r="E208">
        <v>1.5780000000000001</v>
      </c>
      <c r="F208">
        <v>1.5680000000000001</v>
      </c>
      <c r="G208">
        <v>1.548</v>
      </c>
      <c r="H208">
        <v>1.5169999999999999</v>
      </c>
      <c r="I208" s="16"/>
      <c r="J208" s="16">
        <v>28</v>
      </c>
      <c r="K208" s="16">
        <v>1.7589999999999999</v>
      </c>
      <c r="L208">
        <v>1.7210000000000001</v>
      </c>
      <c r="M208">
        <v>1.7010000000000001</v>
      </c>
      <c r="N208">
        <v>1.665</v>
      </c>
      <c r="O208">
        <v>1.6419999999999999</v>
      </c>
      <c r="P208">
        <v>1.621</v>
      </c>
      <c r="Q208">
        <v>1.5580000000000001</v>
      </c>
      <c r="S208" s="16">
        <v>28</v>
      </c>
      <c r="T208">
        <v>1.5369999999999999</v>
      </c>
      <c r="U208">
        <v>1.5469999999999999</v>
      </c>
      <c r="V208">
        <v>1.54</v>
      </c>
      <c r="W208">
        <v>1.5269999999999999</v>
      </c>
      <c r="X208">
        <v>1.5169999999999999</v>
      </c>
      <c r="Y208">
        <v>1.5269999999999999</v>
      </c>
      <c r="Z208">
        <v>1.4990000000000001</v>
      </c>
      <c r="AB208" s="16">
        <v>28</v>
      </c>
      <c r="AC208">
        <v>1.6259999999999999</v>
      </c>
      <c r="AD208">
        <v>1.581</v>
      </c>
      <c r="AE208">
        <v>1.583</v>
      </c>
      <c r="AF208">
        <v>1.5760000000000001</v>
      </c>
      <c r="AG208">
        <v>1.552</v>
      </c>
      <c r="AH208">
        <v>1.5449999999999999</v>
      </c>
      <c r="AI208">
        <v>1.504</v>
      </c>
    </row>
    <row r="209" spans="1:35" x14ac:dyDescent="0.4">
      <c r="A209" s="16">
        <v>28</v>
      </c>
      <c r="B209">
        <v>1.6339999999999999</v>
      </c>
      <c r="C209">
        <v>1.621</v>
      </c>
      <c r="D209">
        <v>1.5940000000000001</v>
      </c>
      <c r="E209">
        <v>1.583</v>
      </c>
      <c r="F209">
        <v>1.5680000000000001</v>
      </c>
      <c r="G209">
        <v>1.548</v>
      </c>
      <c r="H209">
        <v>1.5169999999999999</v>
      </c>
      <c r="I209" s="16"/>
      <c r="J209" s="16">
        <v>28</v>
      </c>
      <c r="K209" s="16">
        <v>1.762</v>
      </c>
      <c r="L209">
        <v>1.7210000000000001</v>
      </c>
      <c r="M209">
        <v>1.698</v>
      </c>
      <c r="N209">
        <v>1.6719999999999999</v>
      </c>
      <c r="O209">
        <v>1.6419999999999999</v>
      </c>
      <c r="P209">
        <v>1.6180000000000001</v>
      </c>
      <c r="Q209">
        <v>1.5580000000000001</v>
      </c>
      <c r="S209" s="16">
        <v>28</v>
      </c>
      <c r="T209">
        <v>1.55</v>
      </c>
      <c r="U209">
        <v>1.54</v>
      </c>
      <c r="V209">
        <v>1.5289999999999999</v>
      </c>
      <c r="W209">
        <v>1.534</v>
      </c>
      <c r="X209">
        <v>1.5089999999999999</v>
      </c>
      <c r="Y209">
        <v>1.506</v>
      </c>
      <c r="Z209">
        <v>1.496</v>
      </c>
      <c r="AB209" s="16">
        <v>28</v>
      </c>
      <c r="AC209">
        <v>1.6259999999999999</v>
      </c>
      <c r="AD209">
        <v>1.5780000000000001</v>
      </c>
      <c r="AE209">
        <v>1.6040000000000001</v>
      </c>
      <c r="AF209">
        <v>1.5760000000000001</v>
      </c>
      <c r="AG209">
        <v>1.5549999999999999</v>
      </c>
      <c r="AH209">
        <v>1.5549999999999999</v>
      </c>
      <c r="AI209">
        <v>1.5069999999999999</v>
      </c>
    </row>
    <row r="210" spans="1:35" x14ac:dyDescent="0.4">
      <c r="A210" s="16">
        <v>29</v>
      </c>
      <c r="B210">
        <v>1.6339999999999999</v>
      </c>
      <c r="C210">
        <v>1.621</v>
      </c>
      <c r="D210">
        <v>1.583</v>
      </c>
      <c r="E210">
        <v>1.583</v>
      </c>
      <c r="F210">
        <v>1.5649999999999999</v>
      </c>
      <c r="G210">
        <v>1.5509999999999999</v>
      </c>
      <c r="H210">
        <v>1.5169999999999999</v>
      </c>
      <c r="I210" s="16"/>
      <c r="J210" s="16">
        <v>29</v>
      </c>
      <c r="K210" s="16">
        <v>1.7410000000000001</v>
      </c>
      <c r="L210">
        <v>1.7310000000000001</v>
      </c>
      <c r="M210">
        <v>1.708</v>
      </c>
      <c r="N210">
        <v>1.665</v>
      </c>
      <c r="O210">
        <v>1.645</v>
      </c>
      <c r="P210">
        <v>1.6339999999999999</v>
      </c>
      <c r="Q210">
        <v>1.5649999999999999</v>
      </c>
      <c r="S210" s="16">
        <v>29</v>
      </c>
      <c r="T210">
        <v>1.55</v>
      </c>
      <c r="U210">
        <v>1.54</v>
      </c>
      <c r="V210">
        <v>1.5289999999999999</v>
      </c>
      <c r="W210">
        <v>1.5269999999999999</v>
      </c>
      <c r="X210">
        <v>1.5189999999999999</v>
      </c>
      <c r="Y210">
        <v>1.5089999999999999</v>
      </c>
      <c r="Z210">
        <v>1.496</v>
      </c>
      <c r="AB210" s="16">
        <v>29</v>
      </c>
      <c r="AC210">
        <v>1.6259999999999999</v>
      </c>
      <c r="AD210">
        <v>1.5780000000000001</v>
      </c>
      <c r="AE210">
        <v>1.581</v>
      </c>
      <c r="AF210">
        <v>1.581</v>
      </c>
      <c r="AG210">
        <v>1.5549999999999999</v>
      </c>
      <c r="AH210">
        <v>1.552</v>
      </c>
      <c r="AI210">
        <v>1.5269999999999999</v>
      </c>
    </row>
    <row r="211" spans="1:35" x14ac:dyDescent="0.4">
      <c r="A211" s="16">
        <v>29</v>
      </c>
      <c r="B211">
        <v>1.621</v>
      </c>
      <c r="C211">
        <v>1.6240000000000001</v>
      </c>
      <c r="D211">
        <v>1.5860000000000001</v>
      </c>
      <c r="E211">
        <v>1.5680000000000001</v>
      </c>
      <c r="F211">
        <v>1.5680000000000001</v>
      </c>
      <c r="G211">
        <v>1.548</v>
      </c>
      <c r="H211">
        <v>1.504</v>
      </c>
      <c r="I211" s="16"/>
      <c r="J211" s="16">
        <v>29</v>
      </c>
      <c r="K211" s="16">
        <v>1.7509999999999999</v>
      </c>
      <c r="L211">
        <v>1.7310000000000001</v>
      </c>
      <c r="M211">
        <v>1.698</v>
      </c>
      <c r="N211">
        <v>1.675</v>
      </c>
      <c r="O211">
        <v>1.6339999999999999</v>
      </c>
      <c r="P211">
        <v>1.6339999999999999</v>
      </c>
      <c r="Q211">
        <v>1.5649999999999999</v>
      </c>
      <c r="S211" s="16">
        <v>29</v>
      </c>
      <c r="T211">
        <v>1.55</v>
      </c>
      <c r="U211">
        <v>1.532</v>
      </c>
      <c r="V211">
        <v>1.5369999999999999</v>
      </c>
      <c r="W211">
        <v>1.5189999999999999</v>
      </c>
      <c r="X211">
        <v>1.5189999999999999</v>
      </c>
      <c r="Y211">
        <v>1.5089999999999999</v>
      </c>
      <c r="Z211">
        <v>1.496</v>
      </c>
      <c r="AB211" s="16">
        <v>29</v>
      </c>
      <c r="AC211">
        <v>1.6259999999999999</v>
      </c>
      <c r="AD211">
        <v>1.583</v>
      </c>
      <c r="AE211">
        <v>1.583</v>
      </c>
      <c r="AF211">
        <v>1.5760000000000001</v>
      </c>
      <c r="AG211">
        <v>1.5649999999999999</v>
      </c>
      <c r="AH211">
        <v>1.5449999999999999</v>
      </c>
      <c r="AI211">
        <v>1.5269999999999999</v>
      </c>
    </row>
    <row r="212" spans="1:35" x14ac:dyDescent="0.4">
      <c r="A212" s="16">
        <v>30</v>
      </c>
      <c r="B212">
        <v>1.6339999999999999</v>
      </c>
      <c r="C212">
        <v>1.6240000000000001</v>
      </c>
      <c r="D212">
        <v>1.583</v>
      </c>
      <c r="E212">
        <v>1.5680000000000001</v>
      </c>
      <c r="F212">
        <v>1.5580000000000001</v>
      </c>
      <c r="G212">
        <v>1.5449999999999999</v>
      </c>
      <c r="H212">
        <v>1.52</v>
      </c>
      <c r="I212" s="16"/>
      <c r="J212" s="16">
        <v>30</v>
      </c>
      <c r="K212" s="16">
        <v>1.748</v>
      </c>
      <c r="L212">
        <v>1.7210000000000001</v>
      </c>
      <c r="M212">
        <v>1.698</v>
      </c>
      <c r="N212">
        <v>1.675</v>
      </c>
      <c r="O212">
        <v>1.6419999999999999</v>
      </c>
      <c r="P212">
        <v>1.611</v>
      </c>
      <c r="Q212">
        <v>1.5580000000000001</v>
      </c>
      <c r="S212" s="16">
        <v>30</v>
      </c>
      <c r="T212">
        <v>1.56</v>
      </c>
      <c r="U212">
        <v>1.5369999999999999</v>
      </c>
      <c r="V212">
        <v>1.5369999999999999</v>
      </c>
      <c r="W212">
        <v>1.5269999999999999</v>
      </c>
      <c r="X212">
        <v>1.5189999999999999</v>
      </c>
      <c r="Y212">
        <v>1.5189999999999999</v>
      </c>
      <c r="Z212">
        <v>1.4890000000000001</v>
      </c>
      <c r="AB212" s="16">
        <v>30</v>
      </c>
      <c r="AC212">
        <v>1.6160000000000001</v>
      </c>
      <c r="AD212">
        <v>1.583</v>
      </c>
      <c r="AE212">
        <v>1.591</v>
      </c>
      <c r="AF212">
        <v>1.583</v>
      </c>
      <c r="AG212">
        <v>1.5649999999999999</v>
      </c>
      <c r="AH212">
        <v>1.5449999999999999</v>
      </c>
      <c r="AI212">
        <v>1.5149999999999999</v>
      </c>
    </row>
    <row r="213" spans="1:35" x14ac:dyDescent="0.4">
      <c r="A213" s="16">
        <v>30</v>
      </c>
      <c r="B213">
        <v>1.631</v>
      </c>
      <c r="C213">
        <v>1.611</v>
      </c>
      <c r="D213">
        <v>1.583</v>
      </c>
      <c r="E213">
        <v>1.5780000000000001</v>
      </c>
      <c r="F213">
        <v>1.5680000000000001</v>
      </c>
      <c r="G213">
        <v>1.5449999999999999</v>
      </c>
      <c r="H213">
        <v>1.52</v>
      </c>
      <c r="I213" s="16"/>
      <c r="J213" s="16">
        <v>30</v>
      </c>
      <c r="K213" s="16">
        <v>1.748</v>
      </c>
      <c r="L213">
        <v>1.7210000000000001</v>
      </c>
      <c r="M213">
        <v>1.698</v>
      </c>
      <c r="N213">
        <v>1.675</v>
      </c>
      <c r="O213">
        <v>1.6419999999999999</v>
      </c>
      <c r="P213">
        <v>1.621</v>
      </c>
      <c r="Q213">
        <v>1.5580000000000001</v>
      </c>
      <c r="S213" s="16">
        <v>30</v>
      </c>
      <c r="T213">
        <v>1.56</v>
      </c>
      <c r="U213">
        <v>1.54</v>
      </c>
      <c r="V213">
        <v>1.5369999999999999</v>
      </c>
      <c r="W213">
        <v>1.5169999999999999</v>
      </c>
      <c r="X213">
        <v>1.5189999999999999</v>
      </c>
      <c r="Y213">
        <v>1.506</v>
      </c>
      <c r="Z213">
        <v>1.4990000000000001</v>
      </c>
      <c r="AB213" s="16">
        <v>30</v>
      </c>
      <c r="AC213">
        <v>1.6160000000000001</v>
      </c>
      <c r="AD213">
        <v>1.5780000000000001</v>
      </c>
      <c r="AE213">
        <v>1.591</v>
      </c>
      <c r="AF213">
        <v>1.5680000000000001</v>
      </c>
      <c r="AG213">
        <v>1.5649999999999999</v>
      </c>
      <c r="AH213">
        <v>1.5449999999999999</v>
      </c>
      <c r="AI213">
        <v>1.5249999999999999</v>
      </c>
    </row>
    <row r="214" spans="1:35" x14ac:dyDescent="0.4">
      <c r="B214">
        <f>AVERAGE(B152:B213)</f>
        <v>1.6275806451612902</v>
      </c>
      <c r="C214" s="16">
        <f t="shared" ref="C214:AI214" si="18">AVERAGE(C152:C213)</f>
        <v>1.6200806451612895</v>
      </c>
      <c r="D214" s="16">
        <f t="shared" si="18"/>
        <v>1.5903225806451604</v>
      </c>
      <c r="E214" s="16">
        <f t="shared" si="18"/>
        <v>1.5798870967741931</v>
      </c>
      <c r="F214" s="16">
        <f t="shared" si="18"/>
        <v>1.5660322580645156</v>
      </c>
      <c r="G214" s="16">
        <f t="shared" si="18"/>
        <v>1.5476612903225815</v>
      </c>
      <c r="H214" s="16">
        <f t="shared" si="18"/>
        <v>1.520483870967742</v>
      </c>
      <c r="I214" s="16"/>
      <c r="J214" s="16"/>
      <c r="K214" s="16">
        <f t="shared" si="18"/>
        <v>1.7512741935483882</v>
      </c>
      <c r="L214" s="16">
        <f t="shared" si="18"/>
        <v>1.7232258064516135</v>
      </c>
      <c r="M214" s="16">
        <f t="shared" si="18"/>
        <v>1.7004354838709654</v>
      </c>
      <c r="N214" s="16">
        <f t="shared" si="18"/>
        <v>1.6731935483870966</v>
      </c>
      <c r="O214" s="16">
        <f t="shared" si="18"/>
        <v>1.6426290322580643</v>
      </c>
      <c r="P214" s="16">
        <f t="shared" si="18"/>
        <v>1.6214838709677417</v>
      </c>
      <c r="Q214" s="16">
        <f t="shared" si="18"/>
        <v>1.5559677419354854</v>
      </c>
      <c r="R214" s="16"/>
      <c r="S214" s="16"/>
      <c r="T214" s="16">
        <f t="shared" si="18"/>
        <v>1.5532580645161289</v>
      </c>
      <c r="U214" s="16">
        <f t="shared" si="18"/>
        <v>1.5451451612903224</v>
      </c>
      <c r="V214" s="16">
        <f t="shared" si="18"/>
        <v>1.5347096774193549</v>
      </c>
      <c r="W214" s="16">
        <f t="shared" si="18"/>
        <v>1.5252419354838715</v>
      </c>
      <c r="X214" s="16">
        <f t="shared" si="18"/>
        <v>1.5172580645161298</v>
      </c>
      <c r="Y214" s="16">
        <f t="shared" si="18"/>
        <v>1.5098225806451615</v>
      </c>
      <c r="Z214" s="16">
        <f t="shared" si="18"/>
        <v>1.4950967741935479</v>
      </c>
      <c r="AA214" s="16"/>
      <c r="AB214" s="16"/>
      <c r="AC214" s="16">
        <f t="shared" si="18"/>
        <v>1.6199193548387099</v>
      </c>
      <c r="AD214" s="16">
        <f t="shared" si="18"/>
        <v>1.5899677419354832</v>
      </c>
      <c r="AE214" s="16">
        <f t="shared" si="18"/>
        <v>1.5866129032258058</v>
      </c>
      <c r="AF214" s="16">
        <f t="shared" si="18"/>
        <v>1.5768064516129028</v>
      </c>
      <c r="AG214" s="16">
        <f t="shared" si="18"/>
        <v>1.5618870967741938</v>
      </c>
      <c r="AH214" s="16">
        <f t="shared" si="18"/>
        <v>1.5475161290322592</v>
      </c>
      <c r="AI214" s="16">
        <f t="shared" si="18"/>
        <v>1.5145806451612909</v>
      </c>
    </row>
  </sheetData>
  <phoneticPr fontId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B228"/>
  <sheetViews>
    <sheetView zoomScale="85" zoomScaleNormal="85" workbookViewId="0">
      <selection activeCell="N73" sqref="N73"/>
    </sheetView>
  </sheetViews>
  <sheetFormatPr defaultRowHeight="18.75" x14ac:dyDescent="0.4"/>
  <cols>
    <col min="2" max="2" width="14.25" bestFit="1" customWidth="1"/>
    <col min="3" max="3" width="13.625" bestFit="1" customWidth="1"/>
    <col min="4" max="4" width="13.75" bestFit="1" customWidth="1"/>
    <col min="5" max="5" width="12.25" bestFit="1" customWidth="1"/>
    <col min="6" max="9" width="13.125" bestFit="1" customWidth="1"/>
    <col min="12" max="12" width="11.75" customWidth="1"/>
    <col min="13" max="13" width="13.375" bestFit="1" customWidth="1"/>
    <col min="14" max="14" width="15.5" bestFit="1" customWidth="1"/>
    <col min="15" max="19" width="13.375" bestFit="1" customWidth="1"/>
  </cols>
  <sheetData>
    <row r="2" spans="2:11" x14ac:dyDescent="0.4">
      <c r="I2" t="s">
        <v>284</v>
      </c>
    </row>
    <row r="3" spans="2:11" x14ac:dyDescent="0.4">
      <c r="C3" t="s">
        <v>45</v>
      </c>
      <c r="D3" t="s">
        <v>279</v>
      </c>
      <c r="E3" t="s">
        <v>44</v>
      </c>
      <c r="F3" t="s">
        <v>189</v>
      </c>
      <c r="H3" t="s">
        <v>286</v>
      </c>
      <c r="I3" t="s">
        <v>283</v>
      </c>
      <c r="J3">
        <f>E10-45</f>
        <v>6047</v>
      </c>
      <c r="K3" t="s">
        <v>285</v>
      </c>
    </row>
    <row r="4" spans="2:11" x14ac:dyDescent="0.4">
      <c r="B4" t="s">
        <v>1</v>
      </c>
      <c r="C4">
        <f>電力データ_Async回路!B144</f>
        <v>1.6302580645161291</v>
      </c>
      <c r="D4">
        <v>20</v>
      </c>
      <c r="E4">
        <f>電力データ_Async回路!$P$14</f>
        <v>31235</v>
      </c>
      <c r="F4">
        <f>電力データ_Async回路!$Q$14</f>
        <v>3334</v>
      </c>
      <c r="H4">
        <f>E4-$J$3</f>
        <v>25188</v>
      </c>
    </row>
    <row r="5" spans="2:11" x14ac:dyDescent="0.4">
      <c r="B5" t="s">
        <v>277</v>
      </c>
      <c r="C5">
        <f>電力データ_Async回路!C144</f>
        <v>1.6255322580645162</v>
      </c>
      <c r="D5">
        <v>20</v>
      </c>
      <c r="E5">
        <f>電力データ_Async回路!$P$15</f>
        <v>28508</v>
      </c>
      <c r="F5">
        <f>電力データ_Async回路!$Q$15</f>
        <v>3334</v>
      </c>
      <c r="H5">
        <f t="shared" ref="H5:H10" si="0">E5-$J$3</f>
        <v>22461</v>
      </c>
    </row>
    <row r="6" spans="2:11" x14ac:dyDescent="0.4">
      <c r="B6" t="s">
        <v>2</v>
      </c>
      <c r="C6">
        <f>電力データ_Async回路!D144</f>
        <v>1.6082903225806453</v>
      </c>
      <c r="D6">
        <v>20</v>
      </c>
      <c r="E6">
        <f>電力データ_Async回路!$P$16</f>
        <v>25505</v>
      </c>
      <c r="F6">
        <f>電力データ_Async回路!$Q$16</f>
        <v>3334</v>
      </c>
      <c r="H6">
        <f t="shared" si="0"/>
        <v>19458</v>
      </c>
    </row>
    <row r="7" spans="2:11" x14ac:dyDescent="0.4">
      <c r="B7" t="s">
        <v>278</v>
      </c>
      <c r="C7">
        <f>電力データ_Async回路!E144</f>
        <v>1.5871451612903225</v>
      </c>
      <c r="D7">
        <v>20</v>
      </c>
      <c r="E7">
        <f>電力データ_Async回路!$P$17</f>
        <v>21573</v>
      </c>
      <c r="F7">
        <f>電力データ_Async回路!$Q$17</f>
        <v>3334</v>
      </c>
      <c r="H7">
        <f t="shared" si="0"/>
        <v>15526</v>
      </c>
    </row>
    <row r="8" spans="2:11" x14ac:dyDescent="0.4">
      <c r="B8" t="s">
        <v>3</v>
      </c>
      <c r="C8">
        <f>電力データ_Async回路!F144</f>
        <v>1.5812580645161298</v>
      </c>
      <c r="D8">
        <v>20</v>
      </c>
      <c r="E8">
        <f>電力データ_Async回路!$P$18</f>
        <v>17266</v>
      </c>
      <c r="F8">
        <f>電力データ_Async回路!$Q$18</f>
        <v>3334</v>
      </c>
      <c r="H8">
        <f t="shared" si="0"/>
        <v>11219</v>
      </c>
    </row>
    <row r="9" spans="2:11" x14ac:dyDescent="0.4">
      <c r="B9" t="s">
        <v>4</v>
      </c>
      <c r="C9">
        <f>電力データ_Async回路!G144</f>
        <v>1.5669999999999995</v>
      </c>
      <c r="D9">
        <v>20</v>
      </c>
      <c r="E9">
        <f>電力データ_Async回路!$P$19</f>
        <v>12311</v>
      </c>
      <c r="F9">
        <f>電力データ_Async回路!$Q$19</f>
        <v>3334</v>
      </c>
      <c r="H9">
        <f t="shared" si="0"/>
        <v>6264</v>
      </c>
    </row>
    <row r="10" spans="2:11" x14ac:dyDescent="0.4">
      <c r="B10" t="s">
        <v>135</v>
      </c>
      <c r="C10">
        <f>電力データ_Async回路!H144</f>
        <v>1.5403387096774197</v>
      </c>
      <c r="D10">
        <v>20</v>
      </c>
      <c r="E10">
        <f>電力データ_Async回路!$P$20</f>
        <v>6092</v>
      </c>
      <c r="F10">
        <f>電力データ_Async回路!$Q$20</f>
        <v>3334</v>
      </c>
      <c r="H10">
        <f t="shared" si="0"/>
        <v>45</v>
      </c>
    </row>
    <row r="12" spans="2:11" x14ac:dyDescent="0.4">
      <c r="B12" t="s">
        <v>281</v>
      </c>
      <c r="C12" t="s">
        <v>282</v>
      </c>
    </row>
    <row r="18" spans="2:7" x14ac:dyDescent="0.4">
      <c r="B18" t="s">
        <v>147</v>
      </c>
    </row>
    <row r="19" spans="2:7" ht="19.5" thickBot="1" x14ac:dyDescent="0.45"/>
    <row r="20" spans="2:7" x14ac:dyDescent="0.4">
      <c r="B20" s="14" t="s">
        <v>148</v>
      </c>
      <c r="C20" s="14"/>
    </row>
    <row r="21" spans="2:7" x14ac:dyDescent="0.4">
      <c r="B21" s="11" t="s">
        <v>149</v>
      </c>
      <c r="C21" s="11">
        <v>0.98136600847091937</v>
      </c>
    </row>
    <row r="22" spans="2:7" x14ac:dyDescent="0.4">
      <c r="B22" s="11" t="s">
        <v>150</v>
      </c>
      <c r="C22" s="11">
        <v>0.9630792425821445</v>
      </c>
    </row>
    <row r="23" spans="2:7" x14ac:dyDescent="0.4">
      <c r="B23" s="11" t="s">
        <v>151</v>
      </c>
      <c r="C23" s="11">
        <v>0.95569509109857331</v>
      </c>
    </row>
    <row r="24" spans="2:7" x14ac:dyDescent="0.4">
      <c r="B24" s="11" t="s">
        <v>152</v>
      </c>
      <c r="C24" s="11">
        <v>6.8118049227526845E-3</v>
      </c>
    </row>
    <row r="25" spans="2:7" ht="19.5" thickBot="1" x14ac:dyDescent="0.45">
      <c r="B25" s="12" t="s">
        <v>153</v>
      </c>
      <c r="C25" s="12">
        <v>7</v>
      </c>
    </row>
    <row r="27" spans="2:7" ht="19.5" thickBot="1" x14ac:dyDescent="0.45">
      <c r="B27" t="s">
        <v>154</v>
      </c>
    </row>
    <row r="28" spans="2:7" x14ac:dyDescent="0.4">
      <c r="B28" s="13"/>
      <c r="C28" s="13" t="s">
        <v>159</v>
      </c>
      <c r="D28" s="13" t="s">
        <v>160</v>
      </c>
      <c r="E28" s="13" t="s">
        <v>161</v>
      </c>
      <c r="F28" s="13" t="s">
        <v>162</v>
      </c>
      <c r="G28" s="13" t="s">
        <v>163</v>
      </c>
    </row>
    <row r="29" spans="2:7" x14ac:dyDescent="0.4">
      <c r="B29" s="11" t="s">
        <v>155</v>
      </c>
      <c r="C29" s="11">
        <v>1</v>
      </c>
      <c r="D29" s="11">
        <v>6.0518175882428695E-3</v>
      </c>
      <c r="E29" s="11">
        <v>6.0518175882428695E-3</v>
      </c>
      <c r="F29" s="11">
        <v>130.42517406703899</v>
      </c>
      <c r="G29" s="11">
        <v>9.0130004162451518E-5</v>
      </c>
    </row>
    <row r="30" spans="2:7" x14ac:dyDescent="0.4">
      <c r="B30" s="11" t="s">
        <v>156</v>
      </c>
      <c r="C30" s="11">
        <v>5</v>
      </c>
      <c r="D30" s="11">
        <v>2.3200343152818853E-4</v>
      </c>
      <c r="E30" s="11">
        <v>4.6400686305637703E-5</v>
      </c>
      <c r="F30" s="11"/>
      <c r="G30" s="11"/>
    </row>
    <row r="31" spans="2:7" ht="19.5" thickBot="1" x14ac:dyDescent="0.45">
      <c r="B31" s="12" t="s">
        <v>157</v>
      </c>
      <c r="C31" s="12">
        <v>6</v>
      </c>
      <c r="D31" s="12">
        <v>6.2838210197710583E-3</v>
      </c>
      <c r="E31" s="12"/>
      <c r="F31" s="12"/>
      <c r="G31" s="12"/>
    </row>
    <row r="32" spans="2:7" ht="19.5" thickBot="1" x14ac:dyDescent="0.45"/>
    <row r="33" spans="2:10" x14ac:dyDescent="0.4">
      <c r="B33" s="13"/>
      <c r="C33" s="13" t="s">
        <v>164</v>
      </c>
      <c r="D33" s="13" t="s">
        <v>152</v>
      </c>
      <c r="E33" s="13" t="s">
        <v>165</v>
      </c>
      <c r="F33" s="13" t="s">
        <v>166</v>
      </c>
      <c r="G33" s="13" t="s">
        <v>167</v>
      </c>
      <c r="H33" s="13" t="s">
        <v>168</v>
      </c>
      <c r="I33" s="13" t="s">
        <v>169</v>
      </c>
      <c r="J33" s="13" t="s">
        <v>170</v>
      </c>
    </row>
    <row r="34" spans="2:10" x14ac:dyDescent="0.4">
      <c r="B34" s="11" t="s">
        <v>158</v>
      </c>
      <c r="C34" s="11">
        <v>1.5166815740503481</v>
      </c>
      <c r="D34" s="11">
        <v>7.0311675067223009E-3</v>
      </c>
      <c r="E34" s="11">
        <v>215.70835463673589</v>
      </c>
      <c r="F34" s="11">
        <v>4.063207795212763E-11</v>
      </c>
      <c r="G34" s="11">
        <v>1.4986073825742514</v>
      </c>
      <c r="H34" s="11">
        <v>1.5347557655264448</v>
      </c>
      <c r="I34" s="11">
        <v>1.4986073825742514</v>
      </c>
      <c r="J34" s="11">
        <v>1.5347557655264448</v>
      </c>
    </row>
    <row r="35" spans="2:10" ht="19.5" thickBot="1" x14ac:dyDescent="0.45">
      <c r="B35" s="12" t="s">
        <v>171</v>
      </c>
      <c r="C35" s="12">
        <v>3.4817413799964385E-6</v>
      </c>
      <c r="D35" s="12">
        <v>3.0487077625006939E-7</v>
      </c>
      <c r="E35" s="12">
        <v>11.420384147087125</v>
      </c>
      <c r="F35" s="12">
        <v>9.0130004162451667E-5</v>
      </c>
      <c r="G35" s="12">
        <v>2.6980461003516667E-6</v>
      </c>
      <c r="H35" s="12">
        <v>4.2654366596412098E-6</v>
      </c>
      <c r="I35" s="12">
        <v>2.6980461003516667E-6</v>
      </c>
      <c r="J35" s="12">
        <v>4.2654366596412098E-6</v>
      </c>
    </row>
    <row r="39" spans="2:10" x14ac:dyDescent="0.4">
      <c r="C39">
        <f>Sync回路回帰分析!Z106/C35</f>
        <v>3.1719569178593083</v>
      </c>
    </row>
    <row r="41" spans="2:10" x14ac:dyDescent="0.4">
      <c r="B41" t="s">
        <v>287</v>
      </c>
    </row>
    <row r="42" spans="2:10" x14ac:dyDescent="0.4">
      <c r="B42" t="s">
        <v>147</v>
      </c>
    </row>
    <row r="43" spans="2:10" ht="19.5" thickBot="1" x14ac:dyDescent="0.45"/>
    <row r="44" spans="2:10" x14ac:dyDescent="0.4">
      <c r="B44" s="14" t="s">
        <v>148</v>
      </c>
      <c r="C44" s="14"/>
    </row>
    <row r="45" spans="2:10" x14ac:dyDescent="0.4">
      <c r="B45" s="11" t="s">
        <v>149</v>
      </c>
      <c r="C45" s="11">
        <v>0.98136600847091937</v>
      </c>
    </row>
    <row r="46" spans="2:10" x14ac:dyDescent="0.4">
      <c r="B46" s="11" t="s">
        <v>150</v>
      </c>
      <c r="C46" s="11">
        <v>0.9630792425821445</v>
      </c>
    </row>
    <row r="47" spans="2:10" x14ac:dyDescent="0.4">
      <c r="B47" s="11" t="s">
        <v>151</v>
      </c>
      <c r="C47" s="11">
        <v>0.95569509109857331</v>
      </c>
    </row>
    <row r="48" spans="2:10" x14ac:dyDescent="0.4">
      <c r="B48" s="11" t="s">
        <v>152</v>
      </c>
      <c r="C48" s="11">
        <v>6.8118049227526845E-3</v>
      </c>
    </row>
    <row r="49" spans="2:10" ht="19.5" thickBot="1" x14ac:dyDescent="0.45">
      <c r="B49" s="12" t="s">
        <v>153</v>
      </c>
      <c r="C49" s="12">
        <v>7</v>
      </c>
    </row>
    <row r="51" spans="2:10" ht="19.5" thickBot="1" x14ac:dyDescent="0.45">
      <c r="B51" t="s">
        <v>154</v>
      </c>
    </row>
    <row r="52" spans="2:10" x14ac:dyDescent="0.4">
      <c r="B52" s="13"/>
      <c r="C52" s="13" t="s">
        <v>159</v>
      </c>
      <c r="D52" s="13" t="s">
        <v>160</v>
      </c>
      <c r="E52" s="13" t="s">
        <v>161</v>
      </c>
      <c r="F52" s="13" t="s">
        <v>162</v>
      </c>
      <c r="G52" s="13" t="s">
        <v>163</v>
      </c>
    </row>
    <row r="53" spans="2:10" x14ac:dyDescent="0.4">
      <c r="B53" s="11" t="s">
        <v>155</v>
      </c>
      <c r="C53" s="11">
        <v>1</v>
      </c>
      <c r="D53" s="11">
        <v>6.0518175882428695E-3</v>
      </c>
      <c r="E53" s="11">
        <v>6.0518175882428695E-3</v>
      </c>
      <c r="F53" s="11">
        <v>130.42517406703899</v>
      </c>
      <c r="G53" s="11">
        <v>9.0130004162451518E-5</v>
      </c>
    </row>
    <row r="54" spans="2:10" x14ac:dyDescent="0.4">
      <c r="B54" s="11" t="s">
        <v>156</v>
      </c>
      <c r="C54" s="11">
        <v>5</v>
      </c>
      <c r="D54" s="11">
        <v>2.3200343152818853E-4</v>
      </c>
      <c r="E54" s="11">
        <v>4.6400686305637703E-5</v>
      </c>
      <c r="F54" s="11"/>
      <c r="G54" s="11"/>
    </row>
    <row r="55" spans="2:10" ht="19.5" thickBot="1" x14ac:dyDescent="0.45">
      <c r="B55" s="12" t="s">
        <v>157</v>
      </c>
      <c r="C55" s="12">
        <v>6</v>
      </c>
      <c r="D55" s="12">
        <v>6.2838210197710583E-3</v>
      </c>
      <c r="E55" s="12"/>
      <c r="F55" s="12"/>
      <c r="G55" s="12"/>
    </row>
    <row r="56" spans="2:10" ht="19.5" thickBot="1" x14ac:dyDescent="0.45"/>
    <row r="57" spans="2:10" x14ac:dyDescent="0.4">
      <c r="B57" s="13"/>
      <c r="C57" s="13" t="s">
        <v>164</v>
      </c>
      <c r="D57" s="13" t="s">
        <v>152</v>
      </c>
      <c r="E57" s="13" t="s">
        <v>165</v>
      </c>
      <c r="F57" s="13" t="s">
        <v>166</v>
      </c>
      <c r="G57" s="13" t="s">
        <v>167</v>
      </c>
      <c r="H57" s="13" t="s">
        <v>168</v>
      </c>
      <c r="I57" s="13" t="s">
        <v>169</v>
      </c>
      <c r="J57" s="13" t="s">
        <v>170</v>
      </c>
    </row>
    <row r="58" spans="2:10" x14ac:dyDescent="0.4">
      <c r="B58" s="11" t="s">
        <v>158</v>
      </c>
      <c r="C58" s="11">
        <v>1.539344228692745</v>
      </c>
      <c r="D58" s="11">
        <v>5.2352587236829925E-3</v>
      </c>
      <c r="E58" s="11">
        <v>294.03403154253664</v>
      </c>
      <c r="F58" s="11">
        <v>8.6349941769698742E-12</v>
      </c>
      <c r="G58" s="11">
        <v>1.5258865677127889</v>
      </c>
      <c r="H58" s="11">
        <v>1.5528018896727012</v>
      </c>
      <c r="I58" s="11">
        <v>1.5258865677127889</v>
      </c>
      <c r="J58" s="11">
        <v>1.5528018896727012</v>
      </c>
    </row>
    <row r="59" spans="2:10" ht="19.5" thickBot="1" x14ac:dyDescent="0.45">
      <c r="B59" s="12" t="s">
        <v>171</v>
      </c>
      <c r="C59" s="12">
        <v>3.4817413799964385E-6</v>
      </c>
      <c r="D59" s="12">
        <v>3.0487077625006939E-7</v>
      </c>
      <c r="E59" s="12">
        <v>11.420384147087125</v>
      </c>
      <c r="F59" s="12">
        <v>9.0130004162451667E-5</v>
      </c>
      <c r="G59" s="12">
        <v>2.6980461003516667E-6</v>
      </c>
      <c r="H59" s="12">
        <v>4.2654366596412098E-6</v>
      </c>
      <c r="I59" s="12">
        <v>2.6980461003516667E-6</v>
      </c>
      <c r="J59" s="12">
        <v>4.2654366596412098E-6</v>
      </c>
    </row>
    <row r="68" spans="1:9" x14ac:dyDescent="0.4">
      <c r="B68" s="16"/>
      <c r="C68" s="16" t="s">
        <v>45</v>
      </c>
      <c r="D68" s="16" t="s">
        <v>279</v>
      </c>
      <c r="E68" s="16" t="s">
        <v>44</v>
      </c>
      <c r="F68" s="16" t="s">
        <v>189</v>
      </c>
      <c r="G68" t="s">
        <v>343</v>
      </c>
    </row>
    <row r="69" spans="1:9" x14ac:dyDescent="0.4">
      <c r="A69" t="s">
        <v>341</v>
      </c>
      <c r="B69" s="16" t="s">
        <v>1</v>
      </c>
      <c r="C69" s="36">
        <f>電力データ_Async回路!$B$214</f>
        <v>1.6275806451612902</v>
      </c>
      <c r="D69" s="16">
        <v>20</v>
      </c>
      <c r="E69" s="16">
        <f>電力データ_Async回路!$P$14</f>
        <v>31235</v>
      </c>
      <c r="F69" s="16">
        <f>電力データ_Async回路!$Q$14</f>
        <v>3334</v>
      </c>
      <c r="G69">
        <f>D69*(E69+F69)</f>
        <v>691380</v>
      </c>
      <c r="H69">
        <f>F69+E69</f>
        <v>34569</v>
      </c>
      <c r="I69" s="36">
        <f>電力データ_Async回路!$B$214</f>
        <v>1.6275806451612902</v>
      </c>
    </row>
    <row r="70" spans="1:9" ht="20.25" x14ac:dyDescent="0.4">
      <c r="A70" t="s">
        <v>433</v>
      </c>
      <c r="B70" s="16" t="s">
        <v>277</v>
      </c>
      <c r="C70" s="36">
        <f>電力データ_Async回路!$C$214</f>
        <v>1.6200806451612895</v>
      </c>
      <c r="D70" s="16">
        <v>20</v>
      </c>
      <c r="E70" s="16">
        <f>電力データ_Async回路!$P$15</f>
        <v>28508</v>
      </c>
      <c r="F70" s="16">
        <f>電力データ_Async回路!$Q$15</f>
        <v>3334</v>
      </c>
      <c r="G70" s="16">
        <f t="shared" ref="G70:G96" si="1">D70*(E70+F70)</f>
        <v>636840</v>
      </c>
      <c r="H70" s="16">
        <f t="shared" ref="H70:H96" si="2">F70+E70</f>
        <v>31842</v>
      </c>
      <c r="I70" s="36">
        <f>電力データ_Async回路!$C$214</f>
        <v>1.6200806451612895</v>
      </c>
    </row>
    <row r="71" spans="1:9" x14ac:dyDescent="0.4">
      <c r="B71" s="16" t="s">
        <v>2</v>
      </c>
      <c r="C71" s="36">
        <f>電力データ_Async回路!$D$214</f>
        <v>1.5903225806451604</v>
      </c>
      <c r="D71" s="16">
        <v>20</v>
      </c>
      <c r="E71" s="16">
        <f>電力データ_Async回路!$P$16</f>
        <v>25505</v>
      </c>
      <c r="F71" s="16">
        <f>電力データ_Async回路!$Q$16</f>
        <v>3334</v>
      </c>
      <c r="G71" s="16">
        <f t="shared" si="1"/>
        <v>576780</v>
      </c>
      <c r="H71" s="16">
        <f t="shared" si="2"/>
        <v>28839</v>
      </c>
      <c r="I71" s="36">
        <f>電力データ_Async回路!$D$214</f>
        <v>1.5903225806451604</v>
      </c>
    </row>
    <row r="72" spans="1:9" x14ac:dyDescent="0.4">
      <c r="B72" s="16" t="s">
        <v>278</v>
      </c>
      <c r="C72" s="36">
        <f>電力データ_Async回路!$E$214</f>
        <v>1.5798870967741931</v>
      </c>
      <c r="D72" s="16">
        <v>20</v>
      </c>
      <c r="E72" s="16">
        <f>電力データ_Async回路!$P$17</f>
        <v>21573</v>
      </c>
      <c r="F72" s="16">
        <f>電力データ_Async回路!$Q$17</f>
        <v>3334</v>
      </c>
      <c r="G72" s="16">
        <f t="shared" si="1"/>
        <v>498140</v>
      </c>
      <c r="H72" s="16">
        <f t="shared" si="2"/>
        <v>24907</v>
      </c>
      <c r="I72" s="36">
        <f>電力データ_Async回路!$E$214</f>
        <v>1.5798870967741931</v>
      </c>
    </row>
    <row r="73" spans="1:9" x14ac:dyDescent="0.4">
      <c r="B73" s="16" t="s">
        <v>3</v>
      </c>
      <c r="C73" s="36">
        <f>電力データ_Async回路!$F$214</f>
        <v>1.5660322580645156</v>
      </c>
      <c r="D73" s="16">
        <v>20</v>
      </c>
      <c r="E73" s="16">
        <f>電力データ_Async回路!$P$18</f>
        <v>17266</v>
      </c>
      <c r="F73" s="16">
        <f>電力データ_Async回路!$Q$18</f>
        <v>3334</v>
      </c>
      <c r="G73" s="16">
        <f t="shared" si="1"/>
        <v>412000</v>
      </c>
      <c r="H73" s="16">
        <f t="shared" si="2"/>
        <v>20600</v>
      </c>
      <c r="I73" s="36">
        <f>電力データ_Async回路!$F$214</f>
        <v>1.5660322580645156</v>
      </c>
    </row>
    <row r="74" spans="1:9" x14ac:dyDescent="0.4">
      <c r="B74" s="16" t="s">
        <v>4</v>
      </c>
      <c r="C74" s="36">
        <f>電力データ_Async回路!$G$214</f>
        <v>1.5476612903225815</v>
      </c>
      <c r="D74" s="16">
        <v>20</v>
      </c>
      <c r="E74" s="16">
        <f>電力データ_Async回路!$P$19</f>
        <v>12311</v>
      </c>
      <c r="F74" s="16">
        <f>電力データ_Async回路!$Q$19</f>
        <v>3334</v>
      </c>
      <c r="G74" s="16">
        <f t="shared" si="1"/>
        <v>312900</v>
      </c>
      <c r="H74" s="16">
        <f t="shared" si="2"/>
        <v>15645</v>
      </c>
      <c r="I74" s="36">
        <f>電力データ_Async回路!$G$214</f>
        <v>1.5476612903225815</v>
      </c>
    </row>
    <row r="75" spans="1:9" x14ac:dyDescent="0.4">
      <c r="B75" s="16" t="s">
        <v>135</v>
      </c>
      <c r="C75" s="36">
        <f>電力データ_Async回路!$H$214</f>
        <v>1.520483870967742</v>
      </c>
      <c r="D75" s="16">
        <v>20</v>
      </c>
      <c r="E75" s="16">
        <f>電力データ_Async回路!$P$20</f>
        <v>6092</v>
      </c>
      <c r="F75" s="16">
        <f>電力データ_Async回路!$Q$20</f>
        <v>3334</v>
      </c>
      <c r="G75" s="16">
        <f t="shared" si="1"/>
        <v>188520</v>
      </c>
      <c r="H75" s="16">
        <f t="shared" si="2"/>
        <v>9426</v>
      </c>
      <c r="I75" s="36">
        <f>電力データ_Async回路!$H$214</f>
        <v>1.520483870967742</v>
      </c>
    </row>
    <row r="76" spans="1:9" x14ac:dyDescent="0.4">
      <c r="A76" t="s">
        <v>332</v>
      </c>
      <c r="B76" s="16" t="s">
        <v>1</v>
      </c>
      <c r="C76" s="36">
        <f>電力データ_Async回路!$K$214</f>
        <v>1.7512741935483882</v>
      </c>
      <c r="D76">
        <v>40</v>
      </c>
      <c r="E76">
        <f>電力データ_Async回路!P21</f>
        <v>27183</v>
      </c>
      <c r="F76">
        <f>電力データ_Async回路!Q21</f>
        <v>3334</v>
      </c>
      <c r="G76" s="16">
        <f t="shared" si="1"/>
        <v>1220680</v>
      </c>
      <c r="H76" s="16">
        <f t="shared" si="2"/>
        <v>30517</v>
      </c>
      <c r="I76" s="36">
        <f>電力データ_Async回路!$K$214</f>
        <v>1.7512741935483882</v>
      </c>
    </row>
    <row r="77" spans="1:9" ht="20.25" x14ac:dyDescent="0.4">
      <c r="A77" s="41" t="s">
        <v>434</v>
      </c>
      <c r="B77" s="16" t="s">
        <v>277</v>
      </c>
      <c r="C77" s="36">
        <f>電力データ_Async回路!$L$214</f>
        <v>1.7232258064516135</v>
      </c>
      <c r="D77" s="16">
        <v>40</v>
      </c>
      <c r="E77" s="16">
        <f>電力データ_Async回路!P22</f>
        <v>25985</v>
      </c>
      <c r="F77" s="16">
        <f>電力データ_Async回路!Q22</f>
        <v>3334</v>
      </c>
      <c r="G77" s="16">
        <f t="shared" si="1"/>
        <v>1172760</v>
      </c>
      <c r="H77" s="16">
        <f t="shared" si="2"/>
        <v>29319</v>
      </c>
      <c r="I77" s="36">
        <f>電力データ_Async回路!$L$214</f>
        <v>1.7232258064516135</v>
      </c>
    </row>
    <row r="78" spans="1:9" x14ac:dyDescent="0.4">
      <c r="B78" s="16" t="s">
        <v>2</v>
      </c>
      <c r="C78" s="36">
        <f>電力データ_Async回路!$M$214</f>
        <v>1.7004354838709654</v>
      </c>
      <c r="D78" s="16">
        <v>40</v>
      </c>
      <c r="E78" s="16">
        <f>電力データ_Async回路!P23</f>
        <v>22190</v>
      </c>
      <c r="F78" s="16">
        <f>電力データ_Async回路!Q23</f>
        <v>3334</v>
      </c>
      <c r="G78" s="16">
        <f t="shared" si="1"/>
        <v>1020960</v>
      </c>
      <c r="H78" s="16">
        <f t="shared" si="2"/>
        <v>25524</v>
      </c>
      <c r="I78" s="36">
        <f>電力データ_Async回路!$M$214</f>
        <v>1.7004354838709654</v>
      </c>
    </row>
    <row r="79" spans="1:9" x14ac:dyDescent="0.4">
      <c r="B79" s="16" t="s">
        <v>278</v>
      </c>
      <c r="C79" s="36">
        <f>電力データ_Async回路!$N$214</f>
        <v>1.6731935483870966</v>
      </c>
      <c r="D79" s="16">
        <v>40</v>
      </c>
      <c r="E79" s="16">
        <f>電力データ_Async回路!P24</f>
        <v>19771</v>
      </c>
      <c r="F79" s="16">
        <f>電力データ_Async回路!Q24</f>
        <v>3334</v>
      </c>
      <c r="G79" s="16">
        <f t="shared" si="1"/>
        <v>924200</v>
      </c>
      <c r="H79" s="16">
        <f t="shared" si="2"/>
        <v>23105</v>
      </c>
      <c r="I79" s="36">
        <f>電力データ_Async回路!$N$214</f>
        <v>1.6731935483870966</v>
      </c>
    </row>
    <row r="80" spans="1:9" x14ac:dyDescent="0.4">
      <c r="B80" s="16" t="s">
        <v>3</v>
      </c>
      <c r="C80" s="36">
        <f>電力データ_Async回路!$O$214</f>
        <v>1.6426290322580643</v>
      </c>
      <c r="D80" s="16">
        <v>40</v>
      </c>
      <c r="E80" s="16">
        <f>電力データ_Async回路!P25</f>
        <v>15224</v>
      </c>
      <c r="F80" s="16">
        <f>電力データ_Async回路!Q25</f>
        <v>3334</v>
      </c>
      <c r="G80" s="16">
        <f t="shared" si="1"/>
        <v>742320</v>
      </c>
      <c r="H80" s="16">
        <f t="shared" si="2"/>
        <v>18558</v>
      </c>
      <c r="I80" s="36">
        <f>電力データ_Async回路!$O$214</f>
        <v>1.6426290322580643</v>
      </c>
    </row>
    <row r="81" spans="1:12" x14ac:dyDescent="0.4">
      <c r="B81" s="16" t="s">
        <v>4</v>
      </c>
      <c r="C81" s="36">
        <f>電力データ_Async回路!$P$214</f>
        <v>1.6214838709677417</v>
      </c>
      <c r="D81" s="16">
        <v>40</v>
      </c>
      <c r="E81" s="16">
        <f>電力データ_Async回路!P26</f>
        <v>9003</v>
      </c>
      <c r="F81" s="16">
        <f>電力データ_Async回路!Q26</f>
        <v>3334</v>
      </c>
      <c r="G81" s="16">
        <f t="shared" si="1"/>
        <v>493480</v>
      </c>
      <c r="H81" s="16">
        <f t="shared" si="2"/>
        <v>12337</v>
      </c>
      <c r="I81" s="36">
        <f>電力データ_Async回路!$P$214</f>
        <v>1.6214838709677417</v>
      </c>
    </row>
    <row r="82" spans="1:12" x14ac:dyDescent="0.4">
      <c r="B82" s="16" t="s">
        <v>135</v>
      </c>
      <c r="C82" s="36">
        <f>電力データ_Async回路!$Q$214</f>
        <v>1.5559677419354854</v>
      </c>
      <c r="D82" s="16">
        <v>40</v>
      </c>
      <c r="E82" s="16">
        <f>電力データ_Async回路!P27</f>
        <v>2632</v>
      </c>
      <c r="F82" s="16">
        <f>電力データ_Async回路!Q27</f>
        <v>3334</v>
      </c>
      <c r="G82" s="16">
        <f t="shared" si="1"/>
        <v>238640</v>
      </c>
      <c r="H82" s="16">
        <f t="shared" si="2"/>
        <v>5966</v>
      </c>
      <c r="I82" s="36">
        <f>電力データ_Async回路!$Q$214</f>
        <v>1.5559677419354854</v>
      </c>
    </row>
    <row r="83" spans="1:12" x14ac:dyDescent="0.4">
      <c r="A83" t="s">
        <v>333</v>
      </c>
      <c r="B83" s="16" t="s">
        <v>335</v>
      </c>
      <c r="C83" s="36">
        <f>電力データ_Async回路!$T$214</f>
        <v>1.5532580645161289</v>
      </c>
      <c r="D83">
        <v>20</v>
      </c>
      <c r="E83" s="16">
        <f>電力データ_Async回路!P28</f>
        <v>15328</v>
      </c>
      <c r="F83" s="16">
        <f>電力データ_Async回路!Q28</f>
        <v>1734</v>
      </c>
      <c r="G83" s="16">
        <f t="shared" si="1"/>
        <v>341240</v>
      </c>
      <c r="H83" s="16">
        <f t="shared" si="2"/>
        <v>17062</v>
      </c>
      <c r="I83" s="36">
        <f>電力データ_Async回路!$T$214</f>
        <v>1.5532580645161289</v>
      </c>
    </row>
    <row r="84" spans="1:12" ht="20.25" x14ac:dyDescent="0.4">
      <c r="A84" t="s">
        <v>435</v>
      </c>
      <c r="B84" s="16" t="s">
        <v>336</v>
      </c>
      <c r="C84" s="36">
        <f>電力データ_Async回路!$U$214</f>
        <v>1.5451451612903224</v>
      </c>
      <c r="D84" s="16">
        <v>20</v>
      </c>
      <c r="E84" s="16">
        <f>電力データ_Async回路!P29</f>
        <v>14371</v>
      </c>
      <c r="F84" s="16">
        <f>電力データ_Async回路!Q29</f>
        <v>1734</v>
      </c>
      <c r="G84" s="16">
        <f t="shared" si="1"/>
        <v>322100</v>
      </c>
      <c r="H84" s="16">
        <f t="shared" si="2"/>
        <v>16105</v>
      </c>
      <c r="I84" s="36">
        <f>電力データ_Async回路!$U$214</f>
        <v>1.5451451612903224</v>
      </c>
    </row>
    <row r="85" spans="1:12" x14ac:dyDescent="0.4">
      <c r="B85" s="16" t="s">
        <v>193</v>
      </c>
      <c r="C85" s="36">
        <f>電力データ_Async回路!$V$214</f>
        <v>1.5347096774193549</v>
      </c>
      <c r="D85" s="16">
        <v>20</v>
      </c>
      <c r="E85" s="16">
        <f>電力データ_Async回路!P30</f>
        <v>12839</v>
      </c>
      <c r="F85" s="16">
        <f>電力データ_Async回路!Q30</f>
        <v>1734</v>
      </c>
      <c r="G85" s="16">
        <f t="shared" si="1"/>
        <v>291460</v>
      </c>
      <c r="H85" s="16">
        <f t="shared" si="2"/>
        <v>14573</v>
      </c>
      <c r="I85" s="36">
        <f>電力データ_Async回路!$V$214</f>
        <v>1.5347096774193549</v>
      </c>
    </row>
    <row r="86" spans="1:12" x14ac:dyDescent="0.4">
      <c r="B86" s="16" t="s">
        <v>337</v>
      </c>
      <c r="C86" s="36">
        <f>電力データ_Async回路!$W$214</f>
        <v>1.5252419354838715</v>
      </c>
      <c r="D86" s="16">
        <v>20</v>
      </c>
      <c r="E86" s="16">
        <f>電力データ_Async回路!P31</f>
        <v>10859</v>
      </c>
      <c r="F86" s="16">
        <f>電力データ_Async回路!Q31</f>
        <v>1734</v>
      </c>
      <c r="G86" s="16">
        <f t="shared" si="1"/>
        <v>251860</v>
      </c>
      <c r="H86" s="16">
        <f t="shared" si="2"/>
        <v>12593</v>
      </c>
      <c r="I86" s="36">
        <f>電力データ_Async回路!$W$214</f>
        <v>1.5252419354838715</v>
      </c>
    </row>
    <row r="87" spans="1:12" x14ac:dyDescent="0.4">
      <c r="B87" s="16" t="s">
        <v>338</v>
      </c>
      <c r="C87" s="36">
        <f>電力データ_Async回路!$X$214</f>
        <v>1.5172580645161298</v>
      </c>
      <c r="D87" s="16">
        <v>20</v>
      </c>
      <c r="E87" s="16">
        <f>電力データ_Async回路!P32</f>
        <v>8722</v>
      </c>
      <c r="F87" s="16">
        <f>電力データ_Async回路!Q32</f>
        <v>1734</v>
      </c>
      <c r="G87" s="16">
        <f t="shared" si="1"/>
        <v>209120</v>
      </c>
      <c r="H87" s="16">
        <f t="shared" si="2"/>
        <v>10456</v>
      </c>
      <c r="I87" s="36">
        <f>電力データ_Async回路!$X$214</f>
        <v>1.5172580645161298</v>
      </c>
    </row>
    <row r="88" spans="1:12" x14ac:dyDescent="0.4">
      <c r="B88" s="16" t="s">
        <v>339</v>
      </c>
      <c r="C88" s="36">
        <f>電力データ_Async回路!$Y$214</f>
        <v>1.5098225806451615</v>
      </c>
      <c r="D88" s="16">
        <v>20</v>
      </c>
      <c r="E88" s="16">
        <f>電力データ_Async回路!P33</f>
        <v>6236</v>
      </c>
      <c r="F88" s="16">
        <f>電力データ_Async回路!Q33</f>
        <v>1734</v>
      </c>
      <c r="G88" s="16">
        <f t="shared" si="1"/>
        <v>159400</v>
      </c>
      <c r="H88" s="16">
        <f t="shared" si="2"/>
        <v>7970</v>
      </c>
      <c r="I88" s="36">
        <f>電力データ_Async回路!$Y$214</f>
        <v>1.5098225806451615</v>
      </c>
    </row>
    <row r="89" spans="1:12" x14ac:dyDescent="0.4">
      <c r="B89" s="16" t="s">
        <v>340</v>
      </c>
      <c r="C89" s="36">
        <f>電力データ_Async回路!$Z$214</f>
        <v>1.4950967741935479</v>
      </c>
      <c r="D89" s="16">
        <v>20</v>
      </c>
      <c r="E89" s="16">
        <f>電力データ_Async回路!P34</f>
        <v>3120</v>
      </c>
      <c r="F89" s="16">
        <f>電力データ_Async回路!Q34</f>
        <v>1734</v>
      </c>
      <c r="G89" s="16">
        <f t="shared" si="1"/>
        <v>97080</v>
      </c>
      <c r="H89" s="16">
        <f t="shared" si="2"/>
        <v>4854</v>
      </c>
      <c r="I89" s="36">
        <f>電力データ_Async回路!$Z$214</f>
        <v>1.4950967741935479</v>
      </c>
    </row>
    <row r="90" spans="1:12" x14ac:dyDescent="0.4">
      <c r="A90" t="s">
        <v>334</v>
      </c>
      <c r="B90" s="16" t="s">
        <v>335</v>
      </c>
      <c r="C90" s="36">
        <f>電力データ_Async回路!$AC$214</f>
        <v>1.6199193548387099</v>
      </c>
      <c r="D90">
        <v>40</v>
      </c>
      <c r="E90" s="16">
        <f>電力データ_Async回路!P35</f>
        <v>13603</v>
      </c>
      <c r="F90" s="16">
        <f>電力データ_Async回路!Q35</f>
        <v>1734</v>
      </c>
      <c r="G90" s="16">
        <f t="shared" si="1"/>
        <v>613480</v>
      </c>
      <c r="H90" s="16">
        <f t="shared" si="2"/>
        <v>15337</v>
      </c>
      <c r="I90" s="36">
        <f>電力データ_Async回路!$AC$214</f>
        <v>1.6199193548387099</v>
      </c>
      <c r="K90" t="s">
        <v>147</v>
      </c>
    </row>
    <row r="91" spans="1:12" ht="21" thickBot="1" x14ac:dyDescent="0.45">
      <c r="A91" t="s">
        <v>436</v>
      </c>
      <c r="B91" s="16" t="s">
        <v>336</v>
      </c>
      <c r="C91" s="36">
        <f>電力データ_Async回路!$AD$214</f>
        <v>1.5899677419354832</v>
      </c>
      <c r="D91" s="16">
        <v>40</v>
      </c>
      <c r="E91" s="16">
        <f>電力データ_Async回路!P36</f>
        <v>13015</v>
      </c>
      <c r="F91" s="16">
        <f>電力データ_Async回路!Q36</f>
        <v>1734</v>
      </c>
      <c r="G91" s="16">
        <f t="shared" si="1"/>
        <v>589960</v>
      </c>
      <c r="H91" s="16">
        <f t="shared" si="2"/>
        <v>14749</v>
      </c>
      <c r="I91" s="36">
        <f>電力データ_Async回路!$AD$214</f>
        <v>1.5899677419354832</v>
      </c>
    </row>
    <row r="92" spans="1:12" x14ac:dyDescent="0.4">
      <c r="B92" s="16" t="s">
        <v>193</v>
      </c>
      <c r="C92" s="36">
        <f>電力データ_Async回路!$AE$214</f>
        <v>1.5866129032258058</v>
      </c>
      <c r="D92" s="16">
        <v>40</v>
      </c>
      <c r="E92" s="16">
        <f>電力データ_Async回路!P37</f>
        <v>11469</v>
      </c>
      <c r="F92" s="16">
        <f>電力データ_Async回路!Q37</f>
        <v>1734</v>
      </c>
      <c r="G92" s="16">
        <f t="shared" si="1"/>
        <v>528120</v>
      </c>
      <c r="H92" s="16">
        <f t="shared" si="2"/>
        <v>13203</v>
      </c>
      <c r="I92" s="36">
        <f>電力データ_Async回路!$AE$214</f>
        <v>1.5866129032258058</v>
      </c>
      <c r="K92" s="20" t="s">
        <v>148</v>
      </c>
      <c r="L92" s="20"/>
    </row>
    <row r="93" spans="1:12" x14ac:dyDescent="0.4">
      <c r="B93" s="16" t="s">
        <v>337</v>
      </c>
      <c r="C93" s="36">
        <f>電力データ_Async回路!$AF$214</f>
        <v>1.5768064516129028</v>
      </c>
      <c r="D93" s="16">
        <v>40</v>
      </c>
      <c r="E93" s="16">
        <f>電力データ_Async回路!P38</f>
        <v>9879</v>
      </c>
      <c r="F93" s="16">
        <f>電力データ_Async回路!Q38</f>
        <v>1734</v>
      </c>
      <c r="G93" s="16">
        <f t="shared" si="1"/>
        <v>464520</v>
      </c>
      <c r="H93" s="16">
        <f t="shared" si="2"/>
        <v>11613</v>
      </c>
      <c r="I93" s="36">
        <f>電力データ_Async回路!$AF$214</f>
        <v>1.5768064516129028</v>
      </c>
      <c r="K93" s="17" t="s">
        <v>149</v>
      </c>
      <c r="L93" s="17">
        <v>0.96239568414852295</v>
      </c>
    </row>
    <row r="94" spans="1:12" x14ac:dyDescent="0.4">
      <c r="B94" s="16" t="s">
        <v>338</v>
      </c>
      <c r="C94" s="36">
        <f>電力データ_Async回路!$AG$214</f>
        <v>1.5618870967741938</v>
      </c>
      <c r="D94" s="16">
        <v>40</v>
      </c>
      <c r="E94" s="16">
        <f>電力データ_Async回路!P39</f>
        <v>7644</v>
      </c>
      <c r="F94" s="16">
        <f>電力データ_Async回路!Q39</f>
        <v>1734</v>
      </c>
      <c r="G94" s="16">
        <f t="shared" si="1"/>
        <v>375120</v>
      </c>
      <c r="H94" s="16">
        <f t="shared" si="2"/>
        <v>9378</v>
      </c>
      <c r="I94" s="36">
        <f>電力データ_Async回路!$AG$214</f>
        <v>1.5618870967741938</v>
      </c>
      <c r="K94" s="17" t="s">
        <v>150</v>
      </c>
      <c r="L94" s="17">
        <v>0.92620545286770295</v>
      </c>
    </row>
    <row r="95" spans="1:12" x14ac:dyDescent="0.4">
      <c r="B95" s="16" t="s">
        <v>339</v>
      </c>
      <c r="C95" s="36">
        <f>電力データ_Async回路!$AH$214</f>
        <v>1.5475161290322592</v>
      </c>
      <c r="D95" s="16">
        <v>40</v>
      </c>
      <c r="E95" s="16">
        <f>電力データ_Async回路!P40</f>
        <v>4558</v>
      </c>
      <c r="F95" s="16">
        <f>電力データ_Async回路!Q40</f>
        <v>1734</v>
      </c>
      <c r="G95" s="16">
        <f t="shared" si="1"/>
        <v>251680</v>
      </c>
      <c r="H95" s="16">
        <f t="shared" si="2"/>
        <v>6292</v>
      </c>
      <c r="I95" s="36">
        <f>電力データ_Async回路!$AH$214</f>
        <v>1.5475161290322592</v>
      </c>
      <c r="K95" s="17" t="s">
        <v>151</v>
      </c>
      <c r="L95" s="17">
        <v>0.91698113447616603</v>
      </c>
    </row>
    <row r="96" spans="1:12" x14ac:dyDescent="0.4">
      <c r="B96" s="16" t="s">
        <v>340</v>
      </c>
      <c r="C96" s="36">
        <f>電力データ_Async回路!$AI$214</f>
        <v>1.5145806451612909</v>
      </c>
      <c r="D96" s="16">
        <v>40</v>
      </c>
      <c r="E96" s="16">
        <f>電力データ_Async回路!P41</f>
        <v>1382</v>
      </c>
      <c r="F96" s="16">
        <f>電力データ_Async回路!Q41</f>
        <v>1734</v>
      </c>
      <c r="G96" s="16">
        <f t="shared" si="1"/>
        <v>124640</v>
      </c>
      <c r="H96" s="16">
        <f t="shared" si="2"/>
        <v>3116</v>
      </c>
      <c r="I96" s="36">
        <f>電力データ_Async回路!$AI$214</f>
        <v>1.5145806451612909</v>
      </c>
      <c r="K96" s="17" t="s">
        <v>152</v>
      </c>
      <c r="L96" s="17">
        <v>1.9014477759917801E-2</v>
      </c>
    </row>
    <row r="97" spans="1:28" ht="19.5" thickBot="1" x14ac:dyDescent="0.45">
      <c r="K97" s="18" t="s">
        <v>153</v>
      </c>
      <c r="L97" s="18">
        <v>28</v>
      </c>
    </row>
    <row r="99" spans="1:28" ht="19.5" thickBot="1" x14ac:dyDescent="0.45">
      <c r="K99" t="s">
        <v>154</v>
      </c>
    </row>
    <row r="100" spans="1:28" x14ac:dyDescent="0.4">
      <c r="K100" s="19"/>
      <c r="L100" s="19" t="s">
        <v>159</v>
      </c>
      <c r="M100" s="19" t="s">
        <v>160</v>
      </c>
      <c r="N100" s="19" t="s">
        <v>161</v>
      </c>
      <c r="O100" s="19" t="s">
        <v>162</v>
      </c>
      <c r="P100" s="19" t="s">
        <v>163</v>
      </c>
    </row>
    <row r="101" spans="1:28" x14ac:dyDescent="0.4">
      <c r="K101" s="17" t="s">
        <v>155</v>
      </c>
      <c r="L101" s="17">
        <v>3</v>
      </c>
      <c r="M101" s="17">
        <v>0.10890883364687678</v>
      </c>
      <c r="N101" s="17">
        <v>3.6302944548958931E-2</v>
      </c>
      <c r="O101" s="17">
        <v>100.40909404400612</v>
      </c>
      <c r="P101" s="17">
        <v>1.0144294522175856E-13</v>
      </c>
    </row>
    <row r="102" spans="1:28" x14ac:dyDescent="0.4">
      <c r="K102" s="17" t="s">
        <v>156</v>
      </c>
      <c r="L102" s="17">
        <v>24</v>
      </c>
      <c r="M102" s="17">
        <v>8.6772087475778248E-3</v>
      </c>
      <c r="N102" s="17">
        <v>3.6155036448240935E-4</v>
      </c>
      <c r="O102" s="17"/>
      <c r="P102" s="17"/>
    </row>
    <row r="103" spans="1:28" ht="19.5" thickBot="1" x14ac:dyDescent="0.45">
      <c r="K103" s="18" t="s">
        <v>157</v>
      </c>
      <c r="L103" s="18">
        <v>27</v>
      </c>
      <c r="M103" s="18">
        <v>0.11758604239445461</v>
      </c>
      <c r="N103" s="18"/>
      <c r="O103" s="18"/>
      <c r="P103" s="18"/>
    </row>
    <row r="104" spans="1:28" ht="19.5" thickBot="1" x14ac:dyDescent="0.45"/>
    <row r="105" spans="1:28" x14ac:dyDescent="0.4">
      <c r="K105" s="19"/>
      <c r="L105" s="19" t="s">
        <v>164</v>
      </c>
      <c r="M105" s="19" t="s">
        <v>152</v>
      </c>
      <c r="N105" s="19" t="s">
        <v>165</v>
      </c>
      <c r="O105" s="19" t="s">
        <v>166</v>
      </c>
      <c r="P105" s="19" t="s">
        <v>167</v>
      </c>
      <c r="Q105" s="19" t="s">
        <v>168</v>
      </c>
      <c r="R105" s="19" t="s">
        <v>169</v>
      </c>
      <c r="S105" s="19" t="s">
        <v>170</v>
      </c>
    </row>
    <row r="106" spans="1:28" x14ac:dyDescent="0.4">
      <c r="A106" t="s">
        <v>424</v>
      </c>
      <c r="C106" s="16" t="s">
        <v>45</v>
      </c>
      <c r="D106" s="16" t="s">
        <v>427</v>
      </c>
      <c r="E106" t="s">
        <v>428</v>
      </c>
      <c r="F106" t="s">
        <v>426</v>
      </c>
      <c r="G106" s="16" t="s">
        <v>44</v>
      </c>
      <c r="H106" s="16" t="s">
        <v>189</v>
      </c>
      <c r="K106" s="17" t="s">
        <v>158</v>
      </c>
      <c r="L106" s="17">
        <v>1.3531910795274242</v>
      </c>
      <c r="M106" s="17">
        <v>1.6144511417900981E-2</v>
      </c>
      <c r="N106" s="17">
        <v>83.817406702503888</v>
      </c>
      <c r="O106" s="17">
        <v>3.9150354674332253E-31</v>
      </c>
      <c r="P106" s="17">
        <v>1.3198704456338313</v>
      </c>
      <c r="Q106" s="17">
        <v>1.3865117134210172</v>
      </c>
      <c r="R106" s="17">
        <v>1.3198704456338313</v>
      </c>
      <c r="S106" s="17">
        <v>1.3865117134210172</v>
      </c>
    </row>
    <row r="107" spans="1:28" x14ac:dyDescent="0.4">
      <c r="A107" s="16" t="s">
        <v>324</v>
      </c>
      <c r="B107" s="16" t="s">
        <v>1</v>
      </c>
      <c r="C107" s="16">
        <f>電力データ_Async回路!$B$214</f>
        <v>1.6275806451612902</v>
      </c>
      <c r="D107" s="16">
        <v>20</v>
      </c>
      <c r="E107">
        <f>D107*10^6</f>
        <v>20000000</v>
      </c>
      <c r="F107">
        <f>(C107-1.49)/E107</f>
        <v>6.87903225806451E-9</v>
      </c>
      <c r="G107">
        <f t="shared" ref="G107:G134" si="3">E69</f>
        <v>31235</v>
      </c>
      <c r="H107">
        <f t="shared" ref="H107:H134" si="4">F69</f>
        <v>3334</v>
      </c>
      <c r="K107" s="17" t="s">
        <v>171</v>
      </c>
      <c r="L107" s="17">
        <v>3.9442682124139197E-3</v>
      </c>
      <c r="M107" s="17">
        <v>3.6414372122519078E-4</v>
      </c>
      <c r="N107" s="17">
        <v>10.831624939579111</v>
      </c>
      <c r="O107" s="17">
        <v>1.0099715190391257E-10</v>
      </c>
      <c r="P107" s="17">
        <v>3.1927125099513718E-3</v>
      </c>
      <c r="Q107" s="17">
        <v>4.695823914876468E-3</v>
      </c>
      <c r="R107" s="17">
        <v>3.1927125099513718E-3</v>
      </c>
      <c r="S107" s="17">
        <v>4.695823914876468E-3</v>
      </c>
    </row>
    <row r="108" spans="1:28" x14ac:dyDescent="0.4">
      <c r="A108" s="16"/>
      <c r="B108" s="16" t="s">
        <v>277</v>
      </c>
      <c r="C108" s="16">
        <f>電力データ_Async回路!$C$214</f>
        <v>1.6200806451612895</v>
      </c>
      <c r="D108" s="16">
        <v>20</v>
      </c>
      <c r="E108" s="16">
        <f t="shared" ref="E108:E134" si="5">D108*10^6</f>
        <v>20000000</v>
      </c>
      <c r="F108" s="16">
        <f t="shared" ref="F108:F134" si="6">(C108-1.49)/E108</f>
        <v>6.5040322580644735E-9</v>
      </c>
      <c r="G108" s="16">
        <f t="shared" si="3"/>
        <v>28508</v>
      </c>
      <c r="H108" s="16">
        <f t="shared" si="4"/>
        <v>3334</v>
      </c>
      <c r="K108" s="17" t="s">
        <v>172</v>
      </c>
      <c r="L108" s="17">
        <v>5.635644152798038E-6</v>
      </c>
      <c r="M108" s="17">
        <v>5.42511269111105E-7</v>
      </c>
      <c r="N108" s="17">
        <v>10.388068365901303</v>
      </c>
      <c r="O108" s="17">
        <v>2.3248716570466061E-10</v>
      </c>
      <c r="P108" s="17">
        <v>4.5159559248126335E-6</v>
      </c>
      <c r="Q108" s="17">
        <v>6.7553323807834425E-6</v>
      </c>
      <c r="R108" s="17">
        <v>4.5159559248126335E-6</v>
      </c>
      <c r="S108" s="17">
        <v>6.7553323807834425E-6</v>
      </c>
    </row>
    <row r="109" spans="1:28" ht="19.5" thickBot="1" x14ac:dyDescent="0.45">
      <c r="A109" s="16"/>
      <c r="B109" s="16" t="s">
        <v>2</v>
      </c>
      <c r="C109" s="16">
        <f>電力データ_Async回路!$D$214</f>
        <v>1.5903225806451604</v>
      </c>
      <c r="D109" s="16">
        <v>20</v>
      </c>
      <c r="E109" s="16">
        <f t="shared" si="5"/>
        <v>20000000</v>
      </c>
      <c r="F109" s="16">
        <f t="shared" si="6"/>
        <v>5.0161290322580212E-9</v>
      </c>
      <c r="G109" s="16">
        <f t="shared" si="3"/>
        <v>25505</v>
      </c>
      <c r="H109" s="16">
        <f t="shared" si="4"/>
        <v>3334</v>
      </c>
      <c r="K109" s="18" t="s">
        <v>173</v>
      </c>
      <c r="L109" s="18">
        <v>1.3464872904160924E-5</v>
      </c>
      <c r="M109" s="18">
        <v>5.5056067547024961E-6</v>
      </c>
      <c r="N109" s="18">
        <v>2.445665574036902</v>
      </c>
      <c r="O109" s="18">
        <v>2.2169323698822217E-2</v>
      </c>
      <c r="P109" s="18">
        <v>2.1018590422409017E-6</v>
      </c>
      <c r="Q109" s="18">
        <v>2.4827886766080946E-5</v>
      </c>
      <c r="R109" s="18">
        <v>2.1018590422409017E-6</v>
      </c>
      <c r="S109" s="18">
        <v>2.4827886766080946E-5</v>
      </c>
    </row>
    <row r="110" spans="1:28" x14ac:dyDescent="0.4">
      <c r="A110" s="16"/>
      <c r="B110" s="16" t="s">
        <v>278</v>
      </c>
      <c r="C110" s="16">
        <f>電力データ_Async回路!$E$214</f>
        <v>1.5798870967741931</v>
      </c>
      <c r="D110" s="16">
        <v>20</v>
      </c>
      <c r="E110" s="16">
        <f t="shared" si="5"/>
        <v>20000000</v>
      </c>
      <c r="F110" s="16">
        <f t="shared" si="6"/>
        <v>4.4943548387096573E-9</v>
      </c>
      <c r="G110" s="16">
        <f t="shared" si="3"/>
        <v>21573</v>
      </c>
      <c r="H110" s="16">
        <f t="shared" si="4"/>
        <v>3334</v>
      </c>
    </row>
    <row r="111" spans="1:28" x14ac:dyDescent="0.4">
      <c r="A111" s="16"/>
      <c r="B111" s="16" t="s">
        <v>3</v>
      </c>
      <c r="C111" s="16">
        <f>電力データ_Async回路!$F$214</f>
        <v>1.5660322580645156</v>
      </c>
      <c r="D111" s="16">
        <v>20</v>
      </c>
      <c r="E111" s="16">
        <f t="shared" si="5"/>
        <v>20000000</v>
      </c>
      <c r="F111" s="16">
        <f t="shared" si="6"/>
        <v>3.8016129032257816E-9</v>
      </c>
      <c r="G111" s="16">
        <f t="shared" si="3"/>
        <v>17266</v>
      </c>
      <c r="H111" s="16">
        <f t="shared" si="4"/>
        <v>3334</v>
      </c>
      <c r="X111" t="s">
        <v>351</v>
      </c>
      <c r="Y111" t="s">
        <v>352</v>
      </c>
      <c r="Z111" t="s">
        <v>353</v>
      </c>
      <c r="AA111" t="s">
        <v>342</v>
      </c>
    </row>
    <row r="112" spans="1:28" x14ac:dyDescent="0.4">
      <c r="A112" s="16"/>
      <c r="B112" s="16" t="s">
        <v>4</v>
      </c>
      <c r="C112" s="16">
        <f>電力データ_Async回路!$G$214</f>
        <v>1.5476612903225815</v>
      </c>
      <c r="D112" s="16">
        <v>20</v>
      </c>
      <c r="E112" s="16">
        <f t="shared" si="5"/>
        <v>20000000</v>
      </c>
      <c r="F112" s="16">
        <f t="shared" si="6"/>
        <v>2.8830645161290748E-9</v>
      </c>
      <c r="G112" s="16">
        <f t="shared" si="3"/>
        <v>12311</v>
      </c>
      <c r="H112" s="16">
        <f t="shared" si="4"/>
        <v>3334</v>
      </c>
      <c r="X112">
        <v>40</v>
      </c>
      <c r="Y112">
        <v>36</v>
      </c>
      <c r="Z112">
        <v>24</v>
      </c>
      <c r="AA112">
        <f>X112*(Y112+Z112)*$L$132</f>
        <v>5.1174863611436877E-4</v>
      </c>
      <c r="AB112">
        <f>X112*L107+Y112*L108+Z112*L109</f>
        <v>0.1582967686357574</v>
      </c>
    </row>
    <row r="113" spans="1:28" x14ac:dyDescent="0.4">
      <c r="A113" s="16"/>
      <c r="B113" s="16" t="s">
        <v>135</v>
      </c>
      <c r="C113" s="16">
        <f>電力データ_Async回路!$H$214</f>
        <v>1.520483870967742</v>
      </c>
      <c r="D113" s="16">
        <v>20</v>
      </c>
      <c r="E113" s="16">
        <f t="shared" si="5"/>
        <v>20000000</v>
      </c>
      <c r="F113" s="16">
        <f t="shared" si="6"/>
        <v>1.5241935483870983E-9</v>
      </c>
      <c r="G113" s="16">
        <f t="shared" si="3"/>
        <v>6092</v>
      </c>
      <c r="H113" s="16">
        <f t="shared" si="4"/>
        <v>3334</v>
      </c>
      <c r="X113">
        <v>40</v>
      </c>
      <c r="Y113">
        <v>18</v>
      </c>
      <c r="Z113">
        <v>12</v>
      </c>
      <c r="AA113" s="16">
        <f>X113*(Y113+Z113)*$L$132</f>
        <v>2.5587431805718439E-4</v>
      </c>
      <c r="AB113" s="16"/>
    </row>
    <row r="114" spans="1:28" x14ac:dyDescent="0.4">
      <c r="A114" s="16" t="s">
        <v>332</v>
      </c>
      <c r="B114" s="16" t="s">
        <v>1</v>
      </c>
      <c r="C114" s="16">
        <f>電力データ_Async回路!$K$214</f>
        <v>1.7512741935483882</v>
      </c>
      <c r="D114" s="16">
        <v>40</v>
      </c>
      <c r="E114" s="16">
        <f t="shared" si="5"/>
        <v>40000000</v>
      </c>
      <c r="F114" s="16">
        <f t="shared" si="6"/>
        <v>6.5318548387097054E-9</v>
      </c>
      <c r="G114" s="16">
        <f t="shared" si="3"/>
        <v>27183</v>
      </c>
      <c r="H114" s="16">
        <f t="shared" si="4"/>
        <v>3334</v>
      </c>
    </row>
    <row r="115" spans="1:28" x14ac:dyDescent="0.4">
      <c r="A115" s="16"/>
      <c r="B115" s="16" t="s">
        <v>277</v>
      </c>
      <c r="C115" s="16">
        <f>電力データ_Async回路!$L$214</f>
        <v>1.7232258064516135</v>
      </c>
      <c r="D115" s="16">
        <v>40</v>
      </c>
      <c r="E115" s="16">
        <f t="shared" si="5"/>
        <v>40000000</v>
      </c>
      <c r="F115" s="16">
        <f t="shared" si="6"/>
        <v>5.8306451612903375E-9</v>
      </c>
      <c r="G115" s="16">
        <f t="shared" si="3"/>
        <v>25985</v>
      </c>
      <c r="H115" s="16">
        <f t="shared" si="4"/>
        <v>3334</v>
      </c>
      <c r="K115" t="s">
        <v>147</v>
      </c>
    </row>
    <row r="116" spans="1:28" ht="19.5" thickBot="1" x14ac:dyDescent="0.45">
      <c r="A116" s="16"/>
      <c r="B116" s="16" t="s">
        <v>2</v>
      </c>
      <c r="C116" s="16">
        <f>電力データ_Async回路!$M$214</f>
        <v>1.7004354838709654</v>
      </c>
      <c r="D116" s="16">
        <v>40</v>
      </c>
      <c r="E116" s="16">
        <f t="shared" si="5"/>
        <v>40000000</v>
      </c>
      <c r="F116" s="16">
        <f t="shared" si="6"/>
        <v>5.2608870967741357E-9</v>
      </c>
      <c r="G116" s="16">
        <f t="shared" si="3"/>
        <v>22190</v>
      </c>
      <c r="H116" s="16">
        <f t="shared" si="4"/>
        <v>3334</v>
      </c>
    </row>
    <row r="117" spans="1:28" x14ac:dyDescent="0.4">
      <c r="A117" s="16"/>
      <c r="B117" s="16" t="s">
        <v>278</v>
      </c>
      <c r="C117" s="16">
        <f>電力データ_Async回路!$N$214</f>
        <v>1.6731935483870966</v>
      </c>
      <c r="D117" s="16">
        <v>40</v>
      </c>
      <c r="E117" s="16">
        <f t="shared" si="5"/>
        <v>40000000</v>
      </c>
      <c r="F117" s="16">
        <f t="shared" si="6"/>
        <v>4.5798387096774136E-9</v>
      </c>
      <c r="G117" s="16">
        <f t="shared" si="3"/>
        <v>19771</v>
      </c>
      <c r="H117" s="16">
        <f t="shared" si="4"/>
        <v>3334</v>
      </c>
      <c r="K117" s="20" t="s">
        <v>148</v>
      </c>
      <c r="L117" s="20"/>
    </row>
    <row r="118" spans="1:28" x14ac:dyDescent="0.4">
      <c r="A118" s="16"/>
      <c r="B118" s="16" t="s">
        <v>3</v>
      </c>
      <c r="C118" s="16">
        <f>電力データ_Async回路!$O$214</f>
        <v>1.6426290322580643</v>
      </c>
      <c r="D118" s="16">
        <v>40</v>
      </c>
      <c r="E118" s="16">
        <f t="shared" si="5"/>
        <v>40000000</v>
      </c>
      <c r="F118" s="16">
        <f t="shared" si="6"/>
        <v>3.8157258064516088E-9</v>
      </c>
      <c r="G118" s="16">
        <f t="shared" si="3"/>
        <v>15224</v>
      </c>
      <c r="H118" s="16">
        <f t="shared" si="4"/>
        <v>3334</v>
      </c>
      <c r="K118" s="17" t="s">
        <v>149</v>
      </c>
      <c r="L118" s="17">
        <v>0.98618069508020156</v>
      </c>
    </row>
    <row r="119" spans="1:28" x14ac:dyDescent="0.4">
      <c r="A119" s="16"/>
      <c r="B119" s="16" t="s">
        <v>4</v>
      </c>
      <c r="C119" s="16">
        <f>電力データ_Async回路!$P$214</f>
        <v>1.6214838709677417</v>
      </c>
      <c r="D119" s="16">
        <v>40</v>
      </c>
      <c r="E119" s="16">
        <f t="shared" si="5"/>
        <v>40000000</v>
      </c>
      <c r="F119" s="16">
        <f t="shared" si="6"/>
        <v>3.2870967741935429E-9</v>
      </c>
      <c r="G119" s="16">
        <f t="shared" si="3"/>
        <v>9003</v>
      </c>
      <c r="H119" s="16">
        <f t="shared" si="4"/>
        <v>3334</v>
      </c>
      <c r="K119" s="17" t="s">
        <v>150</v>
      </c>
      <c r="L119" s="17">
        <v>0.97255236334886941</v>
      </c>
    </row>
    <row r="120" spans="1:28" x14ac:dyDescent="0.4">
      <c r="A120" s="16"/>
      <c r="B120" s="16" t="s">
        <v>135</v>
      </c>
      <c r="C120" s="16">
        <f>電力データ_Async回路!$Q$214</f>
        <v>1.5559677419354854</v>
      </c>
      <c r="D120" s="16">
        <v>40</v>
      </c>
      <c r="E120" s="16">
        <f t="shared" si="5"/>
        <v>40000000</v>
      </c>
      <c r="F120" s="16">
        <f t="shared" si="6"/>
        <v>1.6491935483871346E-9</v>
      </c>
      <c r="G120" s="16">
        <f t="shared" si="3"/>
        <v>2632</v>
      </c>
      <c r="H120" s="16">
        <f t="shared" si="4"/>
        <v>3334</v>
      </c>
      <c r="K120" s="17" t="s">
        <v>151</v>
      </c>
      <c r="L120" s="17">
        <v>0.97149668501613362</v>
      </c>
    </row>
    <row r="121" spans="1:28" x14ac:dyDescent="0.4">
      <c r="A121" s="16" t="s">
        <v>333</v>
      </c>
      <c r="B121" s="16" t="s">
        <v>335</v>
      </c>
      <c r="C121" s="16">
        <f>電力データ_Async回路!$T$214</f>
        <v>1.5532580645161289</v>
      </c>
      <c r="D121" s="16">
        <v>20</v>
      </c>
      <c r="E121" s="16">
        <f t="shared" si="5"/>
        <v>20000000</v>
      </c>
      <c r="F121" s="16">
        <f t="shared" si="6"/>
        <v>3.1629032258064462E-9</v>
      </c>
      <c r="G121" s="16">
        <f t="shared" si="3"/>
        <v>15328</v>
      </c>
      <c r="H121" s="16">
        <f t="shared" si="4"/>
        <v>1734</v>
      </c>
      <c r="K121" s="17" t="s">
        <v>152</v>
      </c>
      <c r="L121" s="17">
        <v>1.1141500670375516E-2</v>
      </c>
    </row>
    <row r="122" spans="1:28" ht="19.5" thickBot="1" x14ac:dyDescent="0.45">
      <c r="A122" s="16"/>
      <c r="B122" s="16" t="s">
        <v>336</v>
      </c>
      <c r="C122" s="16">
        <f>電力データ_Async回路!$U$214</f>
        <v>1.5451451612903224</v>
      </c>
      <c r="D122" s="16">
        <v>20</v>
      </c>
      <c r="E122" s="16">
        <f t="shared" si="5"/>
        <v>20000000</v>
      </c>
      <c r="F122" s="16">
        <f t="shared" si="6"/>
        <v>2.7572580645161217E-9</v>
      </c>
      <c r="G122" s="16">
        <f t="shared" si="3"/>
        <v>14371</v>
      </c>
      <c r="H122" s="16">
        <f t="shared" si="4"/>
        <v>1734</v>
      </c>
      <c r="K122" s="18" t="s">
        <v>153</v>
      </c>
      <c r="L122" s="18">
        <v>28</v>
      </c>
    </row>
    <row r="123" spans="1:28" x14ac:dyDescent="0.4">
      <c r="A123" s="16"/>
      <c r="B123" s="16" t="s">
        <v>193</v>
      </c>
      <c r="C123" s="16">
        <f>電力データ_Async回路!$V$214</f>
        <v>1.5347096774193549</v>
      </c>
      <c r="D123" s="16">
        <v>20</v>
      </c>
      <c r="E123" s="16">
        <f t="shared" si="5"/>
        <v>20000000</v>
      </c>
      <c r="F123" s="16">
        <f t="shared" si="6"/>
        <v>2.235483870967747E-9</v>
      </c>
      <c r="G123" s="16">
        <f t="shared" si="3"/>
        <v>12839</v>
      </c>
      <c r="H123" s="16">
        <f t="shared" si="4"/>
        <v>1734</v>
      </c>
    </row>
    <row r="124" spans="1:28" ht="19.5" thickBot="1" x14ac:dyDescent="0.45">
      <c r="A124" s="16"/>
      <c r="B124" s="16" t="s">
        <v>337</v>
      </c>
      <c r="C124" s="16">
        <f>電力データ_Async回路!$W$214</f>
        <v>1.5252419354838715</v>
      </c>
      <c r="D124" s="16">
        <v>20</v>
      </c>
      <c r="E124" s="16">
        <f t="shared" si="5"/>
        <v>20000000</v>
      </c>
      <c r="F124" s="16">
        <f t="shared" si="6"/>
        <v>1.7620967741935778E-9</v>
      </c>
      <c r="G124" s="16">
        <f t="shared" si="3"/>
        <v>10859</v>
      </c>
      <c r="H124" s="16">
        <f t="shared" si="4"/>
        <v>1734</v>
      </c>
      <c r="K124" t="s">
        <v>154</v>
      </c>
    </row>
    <row r="125" spans="1:28" x14ac:dyDescent="0.4">
      <c r="A125" s="16"/>
      <c r="B125" s="16" t="s">
        <v>338</v>
      </c>
      <c r="C125" s="16">
        <f>電力データ_Async回路!$X$214</f>
        <v>1.5172580645161298</v>
      </c>
      <c r="D125" s="16">
        <v>20</v>
      </c>
      <c r="E125" s="16">
        <f t="shared" si="5"/>
        <v>20000000</v>
      </c>
      <c r="F125" s="16">
        <f t="shared" si="6"/>
        <v>1.3629032258064888E-9</v>
      </c>
      <c r="G125" s="16">
        <f t="shared" si="3"/>
        <v>8722</v>
      </c>
      <c r="H125" s="16">
        <f t="shared" si="4"/>
        <v>1734</v>
      </c>
      <c r="K125" s="19"/>
      <c r="L125" s="19" t="s">
        <v>159</v>
      </c>
      <c r="M125" s="19" t="s">
        <v>160</v>
      </c>
      <c r="N125" s="19" t="s">
        <v>161</v>
      </c>
      <c r="O125" s="19" t="s">
        <v>162</v>
      </c>
      <c r="P125" s="19" t="s">
        <v>163</v>
      </c>
    </row>
    <row r="126" spans="1:28" x14ac:dyDescent="0.4">
      <c r="A126" s="16"/>
      <c r="B126" s="16" t="s">
        <v>339</v>
      </c>
      <c r="C126" s="16">
        <f>電力データ_Async回路!$Y$214</f>
        <v>1.5098225806451615</v>
      </c>
      <c r="D126" s="16">
        <v>20</v>
      </c>
      <c r="E126" s="16">
        <f t="shared" si="5"/>
        <v>20000000</v>
      </c>
      <c r="F126" s="16">
        <f t="shared" si="6"/>
        <v>9.9112903225807578E-10</v>
      </c>
      <c r="G126" s="16">
        <f t="shared" si="3"/>
        <v>6236</v>
      </c>
      <c r="H126" s="16">
        <f t="shared" si="4"/>
        <v>1734</v>
      </c>
      <c r="K126" s="17" t="s">
        <v>155</v>
      </c>
      <c r="L126" s="17">
        <v>1</v>
      </c>
      <c r="M126" s="17">
        <v>0.11435858342756718</v>
      </c>
      <c r="N126" s="17">
        <v>0.11435858342756718</v>
      </c>
      <c r="O126" s="17">
        <v>921.25824049878713</v>
      </c>
      <c r="P126" s="17">
        <v>7.8786118638436281E-22</v>
      </c>
    </row>
    <row r="127" spans="1:28" x14ac:dyDescent="0.4">
      <c r="A127" s="16"/>
      <c r="B127" s="16" t="s">
        <v>340</v>
      </c>
      <c r="C127" s="16">
        <f>電力データ_Async回路!$Z$214</f>
        <v>1.4950967741935479</v>
      </c>
      <c r="D127" s="16">
        <v>20</v>
      </c>
      <c r="E127" s="16">
        <f t="shared" si="5"/>
        <v>20000000</v>
      </c>
      <c r="F127" s="16">
        <f t="shared" si="6"/>
        <v>2.5483870967739632E-10</v>
      </c>
      <c r="G127" s="16">
        <f t="shared" si="3"/>
        <v>3120</v>
      </c>
      <c r="H127" s="16">
        <f t="shared" si="4"/>
        <v>1734</v>
      </c>
      <c r="K127" s="17" t="s">
        <v>156</v>
      </c>
      <c r="L127" s="17">
        <v>26</v>
      </c>
      <c r="M127" s="17">
        <v>3.2274589668874294E-3</v>
      </c>
      <c r="N127" s="17">
        <v>1.2413303718797805E-4</v>
      </c>
      <c r="O127" s="17"/>
      <c r="P127" s="17"/>
    </row>
    <row r="128" spans="1:28" ht="19.5" thickBot="1" x14ac:dyDescent="0.45">
      <c r="A128" s="16" t="s">
        <v>334</v>
      </c>
      <c r="B128" s="16" t="s">
        <v>335</v>
      </c>
      <c r="C128" s="16">
        <f>電力データ_Async回路!$AC$214</f>
        <v>1.6199193548387099</v>
      </c>
      <c r="D128" s="16">
        <v>40</v>
      </c>
      <c r="E128" s="16">
        <f t="shared" si="5"/>
        <v>40000000</v>
      </c>
      <c r="F128" s="16">
        <f t="shared" si="6"/>
        <v>3.2479838709677466E-9</v>
      </c>
      <c r="G128" s="16">
        <f t="shared" si="3"/>
        <v>13603</v>
      </c>
      <c r="H128" s="16">
        <f t="shared" si="4"/>
        <v>1734</v>
      </c>
      <c r="K128" s="18" t="s">
        <v>157</v>
      </c>
      <c r="L128" s="18">
        <v>27</v>
      </c>
      <c r="M128" s="18">
        <v>0.11758604239445461</v>
      </c>
      <c r="N128" s="18"/>
      <c r="O128" s="18"/>
      <c r="P128" s="18"/>
    </row>
    <row r="129" spans="1:19" ht="19.5" thickBot="1" x14ac:dyDescent="0.45">
      <c r="A129" s="16"/>
      <c r="B129" s="16" t="s">
        <v>336</v>
      </c>
      <c r="C129" s="16">
        <f>電力データ_Async回路!$AD$214</f>
        <v>1.5899677419354832</v>
      </c>
      <c r="D129" s="16">
        <v>40</v>
      </c>
      <c r="E129" s="16">
        <f t="shared" si="5"/>
        <v>40000000</v>
      </c>
      <c r="F129" s="16">
        <f t="shared" si="6"/>
        <v>2.4991935483870799E-9</v>
      </c>
      <c r="G129" s="16">
        <f t="shared" si="3"/>
        <v>13015</v>
      </c>
      <c r="H129" s="16">
        <f t="shared" si="4"/>
        <v>1734</v>
      </c>
    </row>
    <row r="130" spans="1:19" x14ac:dyDescent="0.4">
      <c r="A130" s="16"/>
      <c r="B130" s="16" t="s">
        <v>193</v>
      </c>
      <c r="C130" s="16">
        <f>電力データ_Async回路!$AE$214</f>
        <v>1.5866129032258058</v>
      </c>
      <c r="D130" s="16">
        <v>40</v>
      </c>
      <c r="E130" s="16">
        <f t="shared" si="5"/>
        <v>40000000</v>
      </c>
      <c r="F130" s="16">
        <f t="shared" si="6"/>
        <v>2.4153225806451461E-9</v>
      </c>
      <c r="G130" s="16">
        <f t="shared" si="3"/>
        <v>11469</v>
      </c>
      <c r="H130" s="16">
        <f t="shared" si="4"/>
        <v>1734</v>
      </c>
      <c r="K130" s="19"/>
      <c r="L130" s="19" t="s">
        <v>164</v>
      </c>
      <c r="M130" s="19" t="s">
        <v>152</v>
      </c>
      <c r="N130" s="19" t="s">
        <v>165</v>
      </c>
      <c r="O130" s="19" t="s">
        <v>166</v>
      </c>
      <c r="P130" s="19" t="s">
        <v>167</v>
      </c>
      <c r="Q130" s="19" t="s">
        <v>168</v>
      </c>
      <c r="R130" s="19" t="s">
        <v>169</v>
      </c>
      <c r="S130" s="19" t="s">
        <v>170</v>
      </c>
    </row>
    <row r="131" spans="1:19" x14ac:dyDescent="0.4">
      <c r="A131" s="16"/>
      <c r="B131" s="16" t="s">
        <v>337</v>
      </c>
      <c r="C131" s="16">
        <f>電力データ_Async回路!$AF$214</f>
        <v>1.5768064516129028</v>
      </c>
      <c r="D131" s="16">
        <v>40</v>
      </c>
      <c r="E131" s="16">
        <f t="shared" si="5"/>
        <v>40000000</v>
      </c>
      <c r="F131" s="16">
        <f t="shared" si="6"/>
        <v>2.1701612903225699E-9</v>
      </c>
      <c r="G131" s="16">
        <f t="shared" si="3"/>
        <v>9879</v>
      </c>
      <c r="H131" s="16">
        <f t="shared" si="4"/>
        <v>1734</v>
      </c>
      <c r="K131" s="17" t="s">
        <v>158</v>
      </c>
      <c r="L131" s="39">
        <v>1.4809399863983466</v>
      </c>
      <c r="M131" s="39">
        <v>4.0414937123896336E-3</v>
      </c>
      <c r="N131" s="39">
        <v>366.43382169774651</v>
      </c>
      <c r="O131" s="39">
        <v>8.3175150741836992E-50</v>
      </c>
      <c r="P131" s="39">
        <v>1.4726325770964397</v>
      </c>
      <c r="Q131" s="39">
        <v>1.4892473957002534</v>
      </c>
      <c r="R131" s="39">
        <v>1.4726325770964397</v>
      </c>
      <c r="S131" s="39">
        <v>1.4892473957002534</v>
      </c>
    </row>
    <row r="132" spans="1:19" ht="19.5" thickBot="1" x14ac:dyDescent="0.45">
      <c r="A132" s="16"/>
      <c r="B132" s="16" t="s">
        <v>338</v>
      </c>
      <c r="C132" s="16">
        <f>電力データ_Async回路!$AG$214</f>
        <v>1.5618870967741938</v>
      </c>
      <c r="D132" s="16">
        <v>40</v>
      </c>
      <c r="E132" s="16">
        <f t="shared" si="5"/>
        <v>40000000</v>
      </c>
      <c r="F132" s="16">
        <f t="shared" si="6"/>
        <v>1.7971774193548451E-9</v>
      </c>
      <c r="G132" s="16">
        <f t="shared" si="3"/>
        <v>7644</v>
      </c>
      <c r="H132" s="16">
        <f t="shared" si="4"/>
        <v>1734</v>
      </c>
      <c r="K132" s="18" t="s">
        <v>354</v>
      </c>
      <c r="L132" s="40">
        <v>2.1322859838098701E-7</v>
      </c>
      <c r="M132" s="40">
        <v>7.0251363750962591E-9</v>
      </c>
      <c r="N132" s="40">
        <v>30.352236169659506</v>
      </c>
      <c r="O132" s="40">
        <v>7.8786118638437409E-22</v>
      </c>
      <c r="P132" s="40">
        <v>1.98788223751496E-7</v>
      </c>
      <c r="Q132" s="40">
        <v>2.276689730104786E-7</v>
      </c>
      <c r="R132" s="40">
        <v>1.9878822375149611E-7</v>
      </c>
      <c r="S132" s="40">
        <v>2.276689730104786E-7</v>
      </c>
    </row>
    <row r="133" spans="1:19" x14ac:dyDescent="0.4">
      <c r="A133" s="16"/>
      <c r="B133" s="16" t="s">
        <v>339</v>
      </c>
      <c r="C133" s="16">
        <f>電力データ_Async回路!$AH$214</f>
        <v>1.5475161290322592</v>
      </c>
      <c r="D133" s="16">
        <v>40</v>
      </c>
      <c r="E133" s="16">
        <f t="shared" si="5"/>
        <v>40000000</v>
      </c>
      <c r="F133" s="16">
        <f t="shared" si="6"/>
        <v>1.4379032258064806E-9</v>
      </c>
      <c r="G133" s="16">
        <f t="shared" si="3"/>
        <v>4558</v>
      </c>
      <c r="H133" s="16">
        <f t="shared" si="4"/>
        <v>1734</v>
      </c>
    </row>
    <row r="134" spans="1:19" x14ac:dyDescent="0.4">
      <c r="A134" s="16"/>
      <c r="B134" s="16" t="s">
        <v>340</v>
      </c>
      <c r="C134" s="16">
        <f>電力データ_Async回路!$AI$214</f>
        <v>1.5145806451612909</v>
      </c>
      <c r="D134" s="16">
        <v>40</v>
      </c>
      <c r="E134" s="16">
        <f t="shared" si="5"/>
        <v>40000000</v>
      </c>
      <c r="F134" s="16">
        <f t="shared" si="6"/>
        <v>6.1451612903227209E-10</v>
      </c>
      <c r="G134" s="16">
        <f t="shared" si="3"/>
        <v>1382</v>
      </c>
      <c r="H134" s="16">
        <f t="shared" si="4"/>
        <v>1734</v>
      </c>
    </row>
    <row r="136" spans="1:19" x14ac:dyDescent="0.4">
      <c r="K136" t="s">
        <v>344</v>
      </c>
      <c r="P136" t="s">
        <v>348</v>
      </c>
    </row>
    <row r="137" spans="1:19" ht="19.5" thickBot="1" x14ac:dyDescent="0.45"/>
    <row r="138" spans="1:19" x14ac:dyDescent="0.4">
      <c r="K138" s="19" t="s">
        <v>345</v>
      </c>
      <c r="L138" s="19" t="s">
        <v>346</v>
      </c>
      <c r="M138" s="19" t="s">
        <v>156</v>
      </c>
      <c r="N138" s="19" t="s">
        <v>347</v>
      </c>
      <c r="P138" s="19" t="s">
        <v>349</v>
      </c>
      <c r="Q138" s="19" t="s">
        <v>350</v>
      </c>
    </row>
    <row r="139" spans="1:19" x14ac:dyDescent="0.4">
      <c r="K139" s="17">
        <v>1</v>
      </c>
      <c r="L139" s="17">
        <v>1.6283619747469935</v>
      </c>
      <c r="M139" s="17">
        <v>-7.8132958570331645E-4</v>
      </c>
      <c r="N139" s="17">
        <v>-7.1463747563889235E-2</v>
      </c>
      <c r="P139" s="17">
        <v>1.7857142857142858</v>
      </c>
      <c r="Q139" s="17">
        <v>1.4950967741935479</v>
      </c>
    </row>
    <row r="140" spans="1:19" x14ac:dyDescent="0.4">
      <c r="K140" s="17">
        <v>2</v>
      </c>
      <c r="L140" s="17">
        <v>1.6167324869912945</v>
      </c>
      <c r="M140" s="17">
        <v>3.348158169995008E-3</v>
      </c>
      <c r="N140" s="17">
        <v>0.30623687447994835</v>
      </c>
      <c r="P140" s="17">
        <v>5.3571428571428577</v>
      </c>
      <c r="Q140" s="17">
        <v>1.5098225806451615</v>
      </c>
    </row>
    <row r="141" spans="1:19" x14ac:dyDescent="0.4">
      <c r="K141" s="17">
        <v>3</v>
      </c>
      <c r="L141" s="17">
        <v>1.6039259773725325</v>
      </c>
      <c r="M141" s="17">
        <v>-1.3603396727372097E-2</v>
      </c>
      <c r="N141" s="17">
        <v>-1.2442248796470092</v>
      </c>
      <c r="P141" s="17">
        <v>8.9285714285714288</v>
      </c>
      <c r="Q141" s="17">
        <v>1.5145806451612909</v>
      </c>
    </row>
    <row r="142" spans="1:19" x14ac:dyDescent="0.4">
      <c r="K142" s="17">
        <v>4</v>
      </c>
      <c r="L142" s="17">
        <v>1.5871576803958516</v>
      </c>
      <c r="M142" s="17">
        <v>-7.2705836216584441E-3</v>
      </c>
      <c r="N142" s="17">
        <v>-0.66499869208541751</v>
      </c>
      <c r="P142" s="17">
        <v>12.500000000000002</v>
      </c>
      <c r="Q142" s="17">
        <v>1.5172580645161298</v>
      </c>
    </row>
    <row r="143" spans="1:19" x14ac:dyDescent="0.4">
      <c r="K143" s="17">
        <v>5</v>
      </c>
      <c r="L143" s="17">
        <v>1.5687901689313133</v>
      </c>
      <c r="M143" s="17">
        <v>-2.7579108667976637E-3</v>
      </c>
      <c r="N143" s="17">
        <v>-0.25225033019980087</v>
      </c>
      <c r="P143" s="17">
        <v>16.071428571428573</v>
      </c>
      <c r="Q143" s="17">
        <v>1.520483870967742</v>
      </c>
    </row>
    <row r="144" spans="1:19" x14ac:dyDescent="0.4">
      <c r="K144" s="17">
        <v>6</v>
      </c>
      <c r="L144" s="17">
        <v>1.5476592148317576</v>
      </c>
      <c r="M144" s="17">
        <v>2.0754908238718173E-6</v>
      </c>
      <c r="N144" s="17">
        <v>1.8983327269609429E-4</v>
      </c>
      <c r="P144" s="17">
        <v>19.642857142857142</v>
      </c>
      <c r="Q144" s="17">
        <v>1.5252419354838715</v>
      </c>
    </row>
    <row r="145" spans="11:17" x14ac:dyDescent="0.4">
      <c r="K145" s="17">
        <v>7</v>
      </c>
      <c r="L145" s="17">
        <v>1.5211378417651302</v>
      </c>
      <c r="M145" s="17">
        <v>-6.5397079738827024E-4</v>
      </c>
      <c r="N145" s="17">
        <v>-5.9814967759913823E-2</v>
      </c>
      <c r="P145" s="17">
        <v>23.214285714285715</v>
      </c>
      <c r="Q145" s="17">
        <v>1.5347096774193549</v>
      </c>
    </row>
    <row r="146" spans="11:17" x14ac:dyDescent="0.4">
      <c r="K146" s="17">
        <v>8</v>
      </c>
      <c r="L146" s="17">
        <v>1.7412238718700501</v>
      </c>
      <c r="M146" s="17">
        <v>1.0050321678338081E-2</v>
      </c>
      <c r="N146" s="17">
        <v>0.9192454304800397</v>
      </c>
      <c r="P146" s="17">
        <v>26.785714285714285</v>
      </c>
      <c r="Q146" s="17">
        <v>1.5451451612903224</v>
      </c>
    </row>
    <row r="147" spans="11:17" x14ac:dyDescent="0.4">
      <c r="K147" s="17">
        <v>9</v>
      </c>
      <c r="L147" s="17">
        <v>1.7310059574356333</v>
      </c>
      <c r="M147" s="17">
        <v>-7.7801509840198513E-3</v>
      </c>
      <c r="N147" s="17">
        <v>-0.71160590371149823</v>
      </c>
      <c r="P147" s="17">
        <v>30.357142857142858</v>
      </c>
      <c r="Q147" s="17">
        <v>1.5475161290322592</v>
      </c>
    </row>
    <row r="148" spans="11:17" x14ac:dyDescent="0.4">
      <c r="K148" s="17">
        <v>10</v>
      </c>
      <c r="L148" s="17">
        <v>1.6986378562013993</v>
      </c>
      <c r="M148" s="17">
        <v>1.7976276695661486E-3</v>
      </c>
      <c r="N148" s="17">
        <v>0.16441871950375378</v>
      </c>
      <c r="P148" s="17">
        <v>33.928571428571431</v>
      </c>
      <c r="Q148" s="17">
        <v>1.5476612903225815</v>
      </c>
    </row>
    <row r="149" spans="11:17" x14ac:dyDescent="0.4">
      <c r="K149" s="17">
        <v>11</v>
      </c>
      <c r="L149" s="17">
        <v>1.6780058570220551</v>
      </c>
      <c r="M149" s="17">
        <v>-4.8123086349585176E-3</v>
      </c>
      <c r="N149" s="17">
        <v>-0.44015434175403978</v>
      </c>
      <c r="P149" s="17">
        <v>37.5</v>
      </c>
      <c r="Q149" s="17">
        <v>1.5532580645161289</v>
      </c>
    </row>
    <row r="150" spans="11:17" x14ac:dyDescent="0.4">
      <c r="K150" s="17">
        <v>12</v>
      </c>
      <c r="L150" s="17">
        <v>1.639223839548521</v>
      </c>
      <c r="M150" s="17">
        <v>3.4051927095433143E-3</v>
      </c>
      <c r="N150" s="17">
        <v>0.31145349754310026</v>
      </c>
      <c r="P150" s="17">
        <v>41.071428571428569</v>
      </c>
      <c r="Q150" s="17">
        <v>1.5559677419354854</v>
      </c>
    </row>
    <row r="151" spans="11:17" x14ac:dyDescent="0.4">
      <c r="K151" s="17">
        <v>13</v>
      </c>
      <c r="L151" s="17">
        <v>1.5861640351273962</v>
      </c>
      <c r="M151" s="17">
        <v>3.5319835840345482E-2</v>
      </c>
      <c r="N151" s="17">
        <v>3.2305033351839492</v>
      </c>
      <c r="P151" s="17">
        <v>44.642857142857146</v>
      </c>
      <c r="Q151" s="17">
        <v>1.5618870967741938</v>
      </c>
    </row>
    <row r="152" spans="11:17" x14ac:dyDescent="0.4">
      <c r="K152" s="17">
        <v>14</v>
      </c>
      <c r="L152" s="17">
        <v>1.5318248591159853</v>
      </c>
      <c r="M152" s="17">
        <v>2.4142882819500056E-2</v>
      </c>
      <c r="N152" s="17">
        <v>2.2082113807635211</v>
      </c>
      <c r="P152" s="17">
        <v>48.214285714285715</v>
      </c>
      <c r="Q152" s="17">
        <v>1.5660322580645156</v>
      </c>
    </row>
    <row r="153" spans="11:17" x14ac:dyDescent="0.4">
      <c r="K153" s="17">
        <v>15</v>
      </c>
      <c r="L153" s="17">
        <v>1.5537021133098747</v>
      </c>
      <c r="M153" s="17">
        <v>-4.4404879374582151E-4</v>
      </c>
      <c r="N153" s="17">
        <v>-4.0614602957516302E-2</v>
      </c>
      <c r="P153" s="17">
        <v>51.785714285714285</v>
      </c>
      <c r="Q153" s="17">
        <v>1.5768064516129028</v>
      </c>
    </row>
    <row r="154" spans="11:17" x14ac:dyDescent="0.4">
      <c r="K154" s="17">
        <v>16</v>
      </c>
      <c r="L154" s="17">
        <v>1.5496209179368625</v>
      </c>
      <c r="M154" s="17">
        <v>-4.4757566465400966E-3</v>
      </c>
      <c r="N154" s="17">
        <v>-0.40937185663822379</v>
      </c>
      <c r="P154" s="17">
        <v>55.357142857142861</v>
      </c>
      <c r="Q154" s="17">
        <v>1.5798870967741931</v>
      </c>
    </row>
    <row r="155" spans="11:17" x14ac:dyDescent="0.4">
      <c r="K155" s="17">
        <v>17</v>
      </c>
      <c r="L155" s="17">
        <v>1.5430875936824691</v>
      </c>
      <c r="M155" s="17">
        <v>-8.3779162631141268E-3</v>
      </c>
      <c r="N155" s="17">
        <v>-0.76628007423992883</v>
      </c>
      <c r="P155" s="17">
        <v>58.928571428571431</v>
      </c>
      <c r="Q155" s="17">
        <v>1.5866129032258058</v>
      </c>
    </row>
    <row r="156" spans="11:17" x14ac:dyDescent="0.4">
      <c r="K156" s="17">
        <v>18</v>
      </c>
      <c r="L156" s="17">
        <v>1.5346437411865821</v>
      </c>
      <c r="M156" s="17">
        <v>-9.4018057027105417E-3</v>
      </c>
      <c r="N156" s="17">
        <v>-0.8599293840619614</v>
      </c>
      <c r="P156" s="17">
        <v>62.5</v>
      </c>
      <c r="Q156" s="17">
        <v>1.5899677419354832</v>
      </c>
    </row>
    <row r="157" spans="11:17" x14ac:dyDescent="0.4">
      <c r="K157" s="17">
        <v>19</v>
      </c>
      <c r="L157" s="17">
        <v>1.5255303508917786</v>
      </c>
      <c r="M157" s="17">
        <v>-8.2722863756488074E-3</v>
      </c>
      <c r="N157" s="17">
        <v>-0.75661871269526315</v>
      </c>
      <c r="P157" s="17">
        <v>66.071428571428584</v>
      </c>
      <c r="Q157" s="17">
        <v>1.5903225806451604</v>
      </c>
    </row>
    <row r="158" spans="11:17" x14ac:dyDescent="0.4">
      <c r="K158" s="17">
        <v>20</v>
      </c>
      <c r="L158" s="17">
        <v>1.514928624980276</v>
      </c>
      <c r="M158" s="17">
        <v>-5.1060443351145235E-3</v>
      </c>
      <c r="N158" s="17">
        <v>-0.46702066591550817</v>
      </c>
      <c r="P158" s="17">
        <v>69.642857142857153</v>
      </c>
      <c r="Q158" s="17">
        <v>1.6199193548387099</v>
      </c>
    </row>
    <row r="159" spans="11:17" x14ac:dyDescent="0.4">
      <c r="K159" s="17">
        <v>21</v>
      </c>
      <c r="L159" s="17">
        <v>1.5016402187291729</v>
      </c>
      <c r="M159" s="17">
        <v>-6.5434445356249427E-3</v>
      </c>
      <c r="N159" s="17">
        <v>-0.59849143952648665</v>
      </c>
      <c r="P159" s="17">
        <v>73.214285714285722</v>
      </c>
      <c r="Q159" s="17">
        <v>1.6200806451612895</v>
      </c>
    </row>
    <row r="160" spans="11:17" x14ac:dyDescent="0.4">
      <c r="K160" s="17">
        <v>22</v>
      </c>
      <c r="L160" s="17">
        <v>1.6117514669331148</v>
      </c>
      <c r="M160" s="17">
        <v>8.1678879055950837E-3</v>
      </c>
      <c r="N160" s="17">
        <v>0.74706998185684259</v>
      </c>
      <c r="P160" s="17">
        <v>76.785714285714292</v>
      </c>
      <c r="Q160" s="17">
        <v>1.6214838709677417</v>
      </c>
    </row>
    <row r="161" spans="1:17" x14ac:dyDescent="0.4">
      <c r="K161" s="17">
        <v>23</v>
      </c>
      <c r="L161" s="17">
        <v>1.6067363302991939</v>
      </c>
      <c r="M161" s="17">
        <v>-1.6768588363710757E-2</v>
      </c>
      <c r="N161" s="17">
        <v>-1.5337268519638874</v>
      </c>
      <c r="P161" s="17">
        <v>80.357142857142861</v>
      </c>
      <c r="Q161" s="17">
        <v>1.6275806451612902</v>
      </c>
    </row>
    <row r="162" spans="1:17" x14ac:dyDescent="0.4">
      <c r="K162" s="17">
        <v>24</v>
      </c>
      <c r="L162" s="17">
        <v>1.5935502737753136</v>
      </c>
      <c r="M162" s="17">
        <v>-6.9373705495077154E-3</v>
      </c>
      <c r="N162" s="17">
        <v>-0.63452159854014667</v>
      </c>
      <c r="P162" s="17">
        <v>83.928571428571445</v>
      </c>
      <c r="Q162" s="17">
        <v>1.6426290322580643</v>
      </c>
    </row>
    <row r="163" spans="1:17" x14ac:dyDescent="0.4">
      <c r="K163" s="17">
        <v>25</v>
      </c>
      <c r="L163" s="17">
        <v>1.5799889349182827</v>
      </c>
      <c r="M163" s="17">
        <v>-3.1824833053799573E-3</v>
      </c>
      <c r="N163" s="17">
        <v>-0.29108354236610817</v>
      </c>
      <c r="P163" s="17">
        <v>87.500000000000014</v>
      </c>
      <c r="Q163" s="17">
        <v>1.6731935483870966</v>
      </c>
    </row>
    <row r="164" spans="1:17" x14ac:dyDescent="0.4">
      <c r="K164" s="17">
        <v>26</v>
      </c>
      <c r="L164" s="17">
        <v>1.5609262982230225</v>
      </c>
      <c r="M164" s="17">
        <v>9.6079855117126023E-4</v>
      </c>
      <c r="N164" s="17">
        <v>8.7878747172804014E-2</v>
      </c>
      <c r="P164" s="17">
        <v>91.071428571428584</v>
      </c>
      <c r="Q164" s="17">
        <v>1.7004354838709654</v>
      </c>
    </row>
    <row r="165" spans="1:17" x14ac:dyDescent="0.4">
      <c r="K165" s="17">
        <v>27</v>
      </c>
      <c r="L165" s="17">
        <v>1.5346053600388734</v>
      </c>
      <c r="M165" s="17">
        <v>1.2910768993385835E-2</v>
      </c>
      <c r="N165" s="17">
        <v>1.1808741830356844</v>
      </c>
      <c r="P165" s="17">
        <v>94.642857142857153</v>
      </c>
      <c r="Q165" s="17">
        <v>1.7232258064516135</v>
      </c>
    </row>
    <row r="166" spans="1:17" ht="19.5" thickBot="1" x14ac:dyDescent="0.45">
      <c r="K166" s="18">
        <v>28</v>
      </c>
      <c r="L166" s="18">
        <v>1.5075167989005529</v>
      </c>
      <c r="M166" s="18">
        <v>7.0638462607379715E-3</v>
      </c>
      <c r="N166" s="18">
        <v>0.64608960833486906</v>
      </c>
      <c r="P166" s="18">
        <v>98.214285714285722</v>
      </c>
      <c r="Q166" s="18">
        <v>1.7512741935483882</v>
      </c>
    </row>
    <row r="175" spans="1:17" x14ac:dyDescent="0.4">
      <c r="A175" t="s">
        <v>424</v>
      </c>
    </row>
    <row r="176" spans="1:17" x14ac:dyDescent="0.4">
      <c r="A176" t="s">
        <v>147</v>
      </c>
    </row>
    <row r="177" spans="1:9" ht="19.5" thickBot="1" x14ac:dyDescent="0.45"/>
    <row r="178" spans="1:9" x14ac:dyDescent="0.4">
      <c r="A178" s="20" t="s">
        <v>148</v>
      </c>
      <c r="B178" s="20"/>
    </row>
    <row r="179" spans="1:9" x14ac:dyDescent="0.4">
      <c r="A179" s="17" t="s">
        <v>149</v>
      </c>
      <c r="B179" s="17">
        <v>0.98093081749813349</v>
      </c>
    </row>
    <row r="180" spans="1:9" x14ac:dyDescent="0.4">
      <c r="A180" s="17" t="s">
        <v>150</v>
      </c>
      <c r="B180" s="17">
        <v>0.96222526871755654</v>
      </c>
    </row>
    <row r="181" spans="1:9" x14ac:dyDescent="0.4">
      <c r="A181" s="17" t="s">
        <v>151</v>
      </c>
      <c r="B181" s="17">
        <v>0.95920329021496098</v>
      </c>
    </row>
    <row r="182" spans="1:9" x14ac:dyDescent="0.4">
      <c r="A182" s="17" t="s">
        <v>152</v>
      </c>
      <c r="B182" s="17">
        <v>3.762437886045533E-10</v>
      </c>
    </row>
    <row r="183" spans="1:9" ht="19.5" thickBot="1" x14ac:dyDescent="0.45">
      <c r="A183" s="18" t="s">
        <v>153</v>
      </c>
      <c r="B183" s="18">
        <v>28</v>
      </c>
    </row>
    <row r="185" spans="1:9" ht="19.5" thickBot="1" x14ac:dyDescent="0.45">
      <c r="A185" t="s">
        <v>154</v>
      </c>
    </row>
    <row r="186" spans="1:9" x14ac:dyDescent="0.4">
      <c r="A186" s="19"/>
      <c r="B186" s="19" t="s">
        <v>159</v>
      </c>
      <c r="C186" s="19" t="s">
        <v>160</v>
      </c>
      <c r="D186" s="19" t="s">
        <v>161</v>
      </c>
      <c r="E186" s="19" t="s">
        <v>432</v>
      </c>
      <c r="F186" s="19" t="s">
        <v>163</v>
      </c>
    </row>
    <row r="187" spans="1:9" x14ac:dyDescent="0.4">
      <c r="A187" s="17" t="s">
        <v>155</v>
      </c>
      <c r="B187" s="17">
        <v>2</v>
      </c>
      <c r="C187" s="17">
        <v>9.0147577480649698E-17</v>
      </c>
      <c r="D187" s="17">
        <v>4.5073788740324849E-17</v>
      </c>
      <c r="E187" s="17">
        <v>318.409038281091</v>
      </c>
      <c r="F187" s="17">
        <v>1.6406551074699104E-18</v>
      </c>
    </row>
    <row r="188" spans="1:9" x14ac:dyDescent="0.4">
      <c r="A188" s="17" t="s">
        <v>156</v>
      </c>
      <c r="B188" s="17">
        <v>25</v>
      </c>
      <c r="C188" s="17">
        <v>3.538984711587695E-18</v>
      </c>
      <c r="D188" s="17">
        <v>1.415593884635078E-19</v>
      </c>
      <c r="E188" s="17"/>
      <c r="F188" s="17"/>
    </row>
    <row r="189" spans="1:9" ht="19.5" thickBot="1" x14ac:dyDescent="0.45">
      <c r="A189" s="18" t="s">
        <v>157</v>
      </c>
      <c r="B189" s="18">
        <v>27</v>
      </c>
      <c r="C189" s="18">
        <v>9.3686562192237396E-17</v>
      </c>
      <c r="D189" s="18"/>
      <c r="E189" s="18"/>
      <c r="F189" s="18"/>
    </row>
    <row r="190" spans="1:9" ht="19.5" thickBot="1" x14ac:dyDescent="0.45"/>
    <row r="191" spans="1:9" x14ac:dyDescent="0.4">
      <c r="A191" s="19"/>
      <c r="B191" s="19" t="s">
        <v>164</v>
      </c>
      <c r="C191" s="19" t="s">
        <v>152</v>
      </c>
      <c r="D191" s="19" t="s">
        <v>165</v>
      </c>
      <c r="E191" s="19" t="s">
        <v>166</v>
      </c>
      <c r="F191" s="19" t="s">
        <v>167</v>
      </c>
      <c r="G191" s="19" t="s">
        <v>168</v>
      </c>
      <c r="H191" s="19" t="s">
        <v>169</v>
      </c>
      <c r="I191" s="19" t="s">
        <v>170</v>
      </c>
    </row>
    <row r="192" spans="1:9" x14ac:dyDescent="0.4">
      <c r="A192" s="17" t="s">
        <v>158</v>
      </c>
      <c r="B192" s="38">
        <v>-7.0054888531168178E-10</v>
      </c>
      <c r="C192" s="37">
        <v>2.3628526984312157E-10</v>
      </c>
      <c r="D192" s="37">
        <v>-2.9648436645111302</v>
      </c>
      <c r="E192" s="37">
        <v>6.5693015005548741E-3</v>
      </c>
      <c r="F192" s="37">
        <v>-1.1871875080013068E-9</v>
      </c>
      <c r="G192" s="37">
        <v>-2.1391026262205683E-10</v>
      </c>
      <c r="H192" s="37">
        <v>-1.1871875080013068E-9</v>
      </c>
      <c r="I192" s="37">
        <v>-2.1391026262205683E-10</v>
      </c>
    </row>
    <row r="193" spans="1:9" x14ac:dyDescent="0.4">
      <c r="A193" s="17" t="s">
        <v>29</v>
      </c>
      <c r="B193" s="38">
        <v>1.8996082387258299E-13</v>
      </c>
      <c r="C193" s="37">
        <v>1.0593177784374725E-14</v>
      </c>
      <c r="D193" s="37">
        <v>17.932373810697371</v>
      </c>
      <c r="E193" s="37">
        <v>8.719793349534043E-16</v>
      </c>
      <c r="F193" s="37">
        <v>1.68143765829493E-13</v>
      </c>
      <c r="G193" s="37">
        <v>2.1177788191567203E-13</v>
      </c>
      <c r="H193" s="37">
        <v>1.68143765829493E-13</v>
      </c>
      <c r="I193" s="37">
        <v>2.1177788191567203E-13</v>
      </c>
    </row>
    <row r="194" spans="1:9" ht="19.5" thickBot="1" x14ac:dyDescent="0.45">
      <c r="A194" s="18" t="s">
        <v>429</v>
      </c>
      <c r="B194" s="35">
        <v>4.6329777419901379E-13</v>
      </c>
      <c r="C194" s="27">
        <v>1.0846223591989715E-13</v>
      </c>
      <c r="D194" s="27">
        <v>4.2715122942991339</v>
      </c>
      <c r="E194" s="27">
        <v>2.4607206456774098E-4</v>
      </c>
      <c r="F194" s="27">
        <v>2.3991561780416208E-13</v>
      </c>
      <c r="G194" s="27">
        <v>6.8667993059386505E-13</v>
      </c>
      <c r="H194" s="27">
        <v>2.3991561780416208E-13</v>
      </c>
      <c r="I194" s="27">
        <v>6.8667993059386545E-13</v>
      </c>
    </row>
    <row r="198" spans="1:9" x14ac:dyDescent="0.4">
      <c r="A198" t="s">
        <v>344</v>
      </c>
      <c r="F198" t="s">
        <v>348</v>
      </c>
    </row>
    <row r="199" spans="1:9" ht="19.5" thickBot="1" x14ac:dyDescent="0.45"/>
    <row r="200" spans="1:9" x14ac:dyDescent="0.4">
      <c r="A200" s="19" t="s">
        <v>345</v>
      </c>
      <c r="B200" s="19" t="s">
        <v>430</v>
      </c>
      <c r="C200" s="19" t="s">
        <v>156</v>
      </c>
      <c r="D200" s="19" t="s">
        <v>347</v>
      </c>
      <c r="F200" s="19" t="s">
        <v>349</v>
      </c>
      <c r="G200" s="19" t="s">
        <v>425</v>
      </c>
    </row>
    <row r="201" spans="1:9" x14ac:dyDescent="0.4">
      <c r="A201" s="17">
        <v>1</v>
      </c>
      <c r="B201" s="17">
        <v>6.7775122275279442E-9</v>
      </c>
      <c r="C201" s="17">
        <v>1.0152003053656581E-10</v>
      </c>
      <c r="D201" s="17">
        <v>0.28041050436065246</v>
      </c>
      <c r="F201" s="17">
        <v>1.7857142857142858</v>
      </c>
      <c r="G201" s="17">
        <v>2.5483870967739632E-10</v>
      </c>
    </row>
    <row r="202" spans="1:9" x14ac:dyDescent="0.4">
      <c r="A202" s="17">
        <v>2</v>
      </c>
      <c r="B202" s="17">
        <v>6.2594890608274124E-9</v>
      </c>
      <c r="C202" s="17">
        <v>2.4454319723706109E-10</v>
      </c>
      <c r="D202" s="17">
        <v>0.67545765020738613</v>
      </c>
      <c r="F202" s="17">
        <v>5.3571428571428577</v>
      </c>
      <c r="G202" s="17">
        <v>6.1451612903227209E-10</v>
      </c>
    </row>
    <row r="203" spans="1:9" x14ac:dyDescent="0.4">
      <c r="A203" s="17">
        <v>3</v>
      </c>
      <c r="B203" s="17">
        <v>5.6890367067380468E-9</v>
      </c>
      <c r="C203" s="17">
        <v>-6.7290767448002557E-10</v>
      </c>
      <c r="D203" s="17">
        <v>-1.8586517300261709</v>
      </c>
      <c r="F203" s="17">
        <v>8.9285714285714288</v>
      </c>
      <c r="G203" s="17">
        <v>9.9112903225807578E-10</v>
      </c>
    </row>
    <row r="204" spans="1:9" x14ac:dyDescent="0.4">
      <c r="A204" s="17">
        <v>4</v>
      </c>
      <c r="B204" s="17">
        <v>4.942110747271052E-9</v>
      </c>
      <c r="C204" s="17">
        <v>-4.4775590856139466E-10</v>
      </c>
      <c r="D204" s="17">
        <v>-1.2367555396364849</v>
      </c>
      <c r="F204" s="17">
        <v>12.500000000000002</v>
      </c>
      <c r="G204" s="17">
        <v>1.3629032258064888E-9</v>
      </c>
    </row>
    <row r="205" spans="1:9" x14ac:dyDescent="0.4">
      <c r="A205" s="17">
        <v>5</v>
      </c>
      <c r="B205" s="17">
        <v>4.1239494788518396E-9</v>
      </c>
      <c r="C205" s="17">
        <v>-3.2233657562605794E-10</v>
      </c>
      <c r="D205" s="17">
        <v>-0.89033229469560482</v>
      </c>
      <c r="F205" s="17">
        <v>16.071428571428573</v>
      </c>
      <c r="G205" s="17">
        <v>1.4379032258064806E-9</v>
      </c>
    </row>
    <row r="206" spans="1:9" x14ac:dyDescent="0.4">
      <c r="A206" s="17">
        <v>6</v>
      </c>
      <c r="B206" s="17">
        <v>3.1826935965631934E-9</v>
      </c>
      <c r="C206" s="17">
        <v>-2.9962908043411862E-10</v>
      </c>
      <c r="D206" s="17">
        <v>-0.82761146860951185</v>
      </c>
      <c r="F206" s="17">
        <v>19.642857142857142</v>
      </c>
      <c r="G206" s="17">
        <v>1.5241935483870983E-9</v>
      </c>
    </row>
    <row r="207" spans="1:9" x14ac:dyDescent="0.4">
      <c r="A207" s="17">
        <v>7</v>
      </c>
      <c r="B207" s="17">
        <v>2.0013272328996027E-9</v>
      </c>
      <c r="C207" s="17">
        <v>-4.7713368451250437E-10</v>
      </c>
      <c r="D207" s="17">
        <v>-1.317900481456393</v>
      </c>
      <c r="F207" s="17">
        <v>23.214285714285715</v>
      </c>
      <c r="G207" s="17">
        <v>1.6491935483871346E-9</v>
      </c>
    </row>
    <row r="208" spans="1:9" x14ac:dyDescent="0.4">
      <c r="A208" s="17">
        <v>8</v>
      </c>
      <c r="B208" s="17">
        <v>6.0077909691962401E-9</v>
      </c>
      <c r="C208" s="17">
        <v>5.2406386951346521E-10</v>
      </c>
      <c r="D208" s="17">
        <v>1.4475272829487176</v>
      </c>
      <c r="F208" s="17">
        <v>26.785714285714285</v>
      </c>
      <c r="G208" s="17">
        <v>1.7620967741935778E-9</v>
      </c>
    </row>
    <row r="209" spans="1:7" x14ac:dyDescent="0.4">
      <c r="A209" s="17">
        <v>9</v>
      </c>
      <c r="B209" s="17">
        <v>5.7802179021968861E-9</v>
      </c>
      <c r="C209" s="17">
        <v>5.0427259093451403E-11</v>
      </c>
      <c r="D209" s="17">
        <v>0.1392861397025181</v>
      </c>
      <c r="F209" s="17">
        <v>30.357142857142858</v>
      </c>
      <c r="G209" s="17">
        <v>1.7971774193548451E-9</v>
      </c>
    </row>
    <row r="210" spans="1:7" x14ac:dyDescent="0.4">
      <c r="A210" s="17">
        <v>10</v>
      </c>
      <c r="B210" s="17">
        <v>5.0593165756004359E-9</v>
      </c>
      <c r="C210" s="17">
        <v>2.015705211736998E-10</v>
      </c>
      <c r="D210" s="17">
        <v>0.55676196320881022</v>
      </c>
      <c r="F210" s="17">
        <v>33.928571428571431</v>
      </c>
      <c r="G210" s="17">
        <v>2.1701612903225699E-9</v>
      </c>
    </row>
    <row r="211" spans="1:7" x14ac:dyDescent="0.4">
      <c r="A211" s="17">
        <v>11</v>
      </c>
      <c r="B211" s="17">
        <v>4.5998013426526586E-9</v>
      </c>
      <c r="C211" s="17">
        <v>-1.996263297524493E-11</v>
      </c>
      <c r="D211" s="17">
        <v>-5.513918732460206E-2</v>
      </c>
      <c r="F211" s="17">
        <v>37.5</v>
      </c>
      <c r="G211" s="17">
        <v>2.235483870967747E-9</v>
      </c>
    </row>
    <row r="212" spans="1:7" x14ac:dyDescent="0.4">
      <c r="A212" s="17">
        <v>12</v>
      </c>
      <c r="B212" s="17">
        <v>3.7360494765040261E-9</v>
      </c>
      <c r="C212" s="17">
        <v>7.9676329947582667E-11</v>
      </c>
      <c r="D212" s="17">
        <v>0.22007558260298371</v>
      </c>
      <c r="F212" s="17">
        <v>41.071428571428569</v>
      </c>
      <c r="G212" s="17">
        <v>2.4153225806451461E-9</v>
      </c>
    </row>
    <row r="213" spans="1:7" x14ac:dyDescent="0.4">
      <c r="A213" s="17">
        <v>13</v>
      </c>
      <c r="B213" s="17">
        <v>2.5543031911926903E-9</v>
      </c>
      <c r="C213" s="17">
        <v>7.3279358300085258E-10</v>
      </c>
      <c r="D213" s="17">
        <v>2.0240637942628199</v>
      </c>
      <c r="F213" s="17">
        <v>44.642857142857146</v>
      </c>
      <c r="G213" s="17">
        <v>2.4991935483870799E-9</v>
      </c>
    </row>
    <row r="214" spans="1:7" x14ac:dyDescent="0.4">
      <c r="A214" s="17">
        <v>14</v>
      </c>
      <c r="B214" s="17">
        <v>1.3440627823004674E-9</v>
      </c>
      <c r="C214" s="17">
        <v>3.0513076608666712E-10</v>
      </c>
      <c r="D214" s="17">
        <v>0.84280778445487814</v>
      </c>
      <c r="F214" s="17">
        <v>48.214285714285715</v>
      </c>
      <c r="G214" s="17">
        <v>2.7572580645161217E-9</v>
      </c>
    </row>
    <row r="215" spans="1:7" x14ac:dyDescent="0.4">
      <c r="A215" s="17">
        <v>15</v>
      </c>
      <c r="B215" s="17">
        <v>3.0145289634683533E-9</v>
      </c>
      <c r="C215" s="17">
        <v>1.4837426233809293E-10</v>
      </c>
      <c r="D215" s="17">
        <v>0.40982751400354167</v>
      </c>
      <c r="F215" s="17">
        <v>51.785714285714285</v>
      </c>
      <c r="G215" s="17">
        <v>2.8830645161290748E-9</v>
      </c>
    </row>
    <row r="216" spans="1:7" x14ac:dyDescent="0.4">
      <c r="A216" s="17">
        <v>16</v>
      </c>
      <c r="B216" s="17">
        <v>2.8327364550222912E-9</v>
      </c>
      <c r="C216" s="17">
        <v>-7.5478390506169493E-11</v>
      </c>
      <c r="D216" s="17">
        <v>-0.20848037021168958</v>
      </c>
      <c r="F216" s="17">
        <v>55.357142857142861</v>
      </c>
      <c r="G216" s="17">
        <v>3.1629032258064462E-9</v>
      </c>
    </row>
    <row r="217" spans="1:7" x14ac:dyDescent="0.4">
      <c r="A217" s="17">
        <v>17</v>
      </c>
      <c r="B217" s="17">
        <v>2.5417164728494949E-9</v>
      </c>
      <c r="C217" s="17">
        <v>-3.0623260188174789E-10</v>
      </c>
      <c r="D217" s="17">
        <v>-0.84585118711530127</v>
      </c>
      <c r="F217" s="17">
        <v>58.928571428571431</v>
      </c>
      <c r="G217" s="17">
        <v>3.2479838709677466E-9</v>
      </c>
    </row>
    <row r="218" spans="1:7" x14ac:dyDescent="0.4">
      <c r="A218" s="17">
        <v>18</v>
      </c>
      <c r="B218" s="17">
        <v>2.1655940415817819E-9</v>
      </c>
      <c r="C218" s="17">
        <v>-4.0349726738820404E-10</v>
      </c>
      <c r="D218" s="17">
        <v>-1.1145078627189584</v>
      </c>
      <c r="F218" s="17">
        <v>62.5</v>
      </c>
      <c r="G218" s="17">
        <v>3.2870967741935429E-9</v>
      </c>
    </row>
    <row r="219" spans="1:7" x14ac:dyDescent="0.4">
      <c r="A219" s="17">
        <v>19</v>
      </c>
      <c r="B219" s="17">
        <v>1.7596477609660729E-9</v>
      </c>
      <c r="C219" s="17">
        <v>-3.9674453515958408E-10</v>
      </c>
      <c r="D219" s="17">
        <v>-1.0958560061342844</v>
      </c>
      <c r="F219" s="17">
        <v>66.071428571428584</v>
      </c>
      <c r="G219" s="17">
        <v>3.8016129032257816E-9</v>
      </c>
    </row>
    <row r="220" spans="1:7" x14ac:dyDescent="0.4">
      <c r="A220" s="17">
        <v>20</v>
      </c>
      <c r="B220" s="17">
        <v>1.2874051528188327E-9</v>
      </c>
      <c r="C220" s="17">
        <v>-2.9627612056075692E-10</v>
      </c>
      <c r="D220" s="17">
        <v>-0.818350191162873</v>
      </c>
      <c r="F220" s="17">
        <v>69.642857142857153</v>
      </c>
      <c r="G220" s="17">
        <v>3.8157258064516088E-9</v>
      </c>
    </row>
    <row r="221" spans="1:7" x14ac:dyDescent="0.4">
      <c r="A221" s="17">
        <v>21</v>
      </c>
      <c r="B221" s="17">
        <v>6.9548722563186568E-10</v>
      </c>
      <c r="C221" s="17">
        <v>-4.4064851595446936E-10</v>
      </c>
      <c r="D221" s="17">
        <v>-1.2171240685360181</v>
      </c>
      <c r="F221" s="17">
        <v>73.214285714285722</v>
      </c>
      <c r="G221" s="17">
        <v>4.4943548387096573E-9</v>
      </c>
    </row>
    <row r="222" spans="1:7" x14ac:dyDescent="0.4">
      <c r="A222" s="17">
        <v>22</v>
      </c>
      <c r="B222" s="17">
        <v>2.6868465422881478E-9</v>
      </c>
      <c r="C222" s="17">
        <v>5.6113732867959877E-10</v>
      </c>
      <c r="D222" s="17">
        <v>1.5499286251097129</v>
      </c>
      <c r="F222" s="17">
        <v>76.785714285714292</v>
      </c>
      <c r="G222" s="17">
        <v>4.5798387096774136E-9</v>
      </c>
    </row>
    <row r="223" spans="1:7" x14ac:dyDescent="0.4">
      <c r="A223" s="17">
        <v>23</v>
      </c>
      <c r="B223" s="17">
        <v>2.5751495778510699E-9</v>
      </c>
      <c r="C223" s="17">
        <v>-7.5956029463989972E-11</v>
      </c>
      <c r="D223" s="17">
        <v>-0.20979966631864352</v>
      </c>
      <c r="F223" s="17">
        <v>80.357142857142861</v>
      </c>
      <c r="G223" s="17">
        <v>5.0161290322580212E-9</v>
      </c>
    </row>
    <row r="224" spans="1:7" x14ac:dyDescent="0.4">
      <c r="A224" s="17">
        <v>24</v>
      </c>
      <c r="B224" s="17">
        <v>2.2814701441440568E-9</v>
      </c>
      <c r="C224" s="17">
        <v>1.3385243650108931E-10</v>
      </c>
      <c r="D224" s="17">
        <v>0.36971648876379803</v>
      </c>
      <c r="F224" s="17">
        <v>83.928571428571445</v>
      </c>
      <c r="G224" s="17">
        <v>5.2608870967741357E-9</v>
      </c>
    </row>
    <row r="225" spans="1:7" x14ac:dyDescent="0.4">
      <c r="A225" s="17">
        <v>25</v>
      </c>
      <c r="B225" s="17">
        <v>1.9794324341866505E-9</v>
      </c>
      <c r="C225" s="17">
        <v>1.9072885613591935E-10</v>
      </c>
      <c r="D225" s="17">
        <v>0.526815983629359</v>
      </c>
      <c r="F225" s="17">
        <v>87.500000000000014</v>
      </c>
      <c r="G225" s="17">
        <v>5.8306451612903375E-9</v>
      </c>
    </row>
    <row r="226" spans="1:7" x14ac:dyDescent="0.4">
      <c r="A226" s="17">
        <v>26</v>
      </c>
      <c r="B226" s="17">
        <v>1.5548699928314289E-9</v>
      </c>
      <c r="C226" s="17">
        <v>2.4230742652341623E-10</v>
      </c>
      <c r="D226" s="17">
        <v>0.66928218325633826</v>
      </c>
      <c r="F226" s="17">
        <v>91.071428571428584</v>
      </c>
      <c r="G226" s="17">
        <v>6.5040322580644735E-9</v>
      </c>
    </row>
    <row r="227" spans="1:7" x14ac:dyDescent="0.4">
      <c r="A227" s="17">
        <v>27</v>
      </c>
      <c r="B227" s="17">
        <v>9.6865089036063916E-10</v>
      </c>
      <c r="C227" s="17">
        <v>4.6925233544584142E-10</v>
      </c>
      <c r="D227" s="17">
        <v>1.2961312497575381</v>
      </c>
      <c r="F227" s="17">
        <v>94.642857142857153</v>
      </c>
      <c r="G227" s="17">
        <v>6.5318548387097054E-9</v>
      </c>
    </row>
    <row r="228" spans="1:7" ht="19.5" thickBot="1" x14ac:dyDescent="0.45">
      <c r="A228" s="18">
        <v>28</v>
      </c>
      <c r="B228" s="18">
        <v>3.6533531374131723E-10</v>
      </c>
      <c r="C228" s="18">
        <v>2.4918081529095486E-10</v>
      </c>
      <c r="D228" s="18">
        <v>0.6882673076774557</v>
      </c>
      <c r="F228" s="18">
        <v>98.214285714285722</v>
      </c>
      <c r="G228" s="18">
        <v>6.87903225806451E-9</v>
      </c>
    </row>
  </sheetData>
  <sortState ref="G201:G228">
    <sortCondition ref="G201"/>
  </sortState>
  <phoneticPr fontId="1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67"/>
  <sheetViews>
    <sheetView zoomScale="115" zoomScaleNormal="115" workbookViewId="0">
      <selection activeCell="P2" sqref="P2"/>
    </sheetView>
  </sheetViews>
  <sheetFormatPr defaultRowHeight="18.75" x14ac:dyDescent="0.4"/>
  <sheetData>
    <row r="1" spans="1:19" x14ac:dyDescent="0.4">
      <c r="A1" t="s">
        <v>356</v>
      </c>
      <c r="P1" t="s">
        <v>460</v>
      </c>
    </row>
    <row r="2" spans="1:19" x14ac:dyDescent="0.4">
      <c r="A2" t="s">
        <v>397</v>
      </c>
      <c r="E2" t="s">
        <v>44</v>
      </c>
      <c r="F2" t="s">
        <v>375</v>
      </c>
      <c r="G2" t="s">
        <v>190</v>
      </c>
      <c r="H2" t="s">
        <v>376</v>
      </c>
      <c r="I2" t="s">
        <v>377</v>
      </c>
      <c r="J2" t="s">
        <v>378</v>
      </c>
      <c r="K2" t="s">
        <v>379</v>
      </c>
      <c r="L2" t="s">
        <v>380</v>
      </c>
      <c r="M2" t="s">
        <v>381</v>
      </c>
      <c r="P2" t="s">
        <v>407</v>
      </c>
      <c r="R2">
        <v>5050</v>
      </c>
      <c r="S2" t="s">
        <v>408</v>
      </c>
    </row>
    <row r="3" spans="1:19" x14ac:dyDescent="0.4">
      <c r="A3" t="s">
        <v>384</v>
      </c>
      <c r="B3" s="28"/>
      <c r="C3" s="28"/>
      <c r="E3">
        <v>8077</v>
      </c>
      <c r="F3">
        <v>7008</v>
      </c>
      <c r="G3">
        <v>3397</v>
      </c>
      <c r="H3">
        <v>8077</v>
      </c>
      <c r="I3">
        <v>10.5</v>
      </c>
      <c r="J3">
        <v>4</v>
      </c>
      <c r="K3">
        <v>17</v>
      </c>
      <c r="L3">
        <v>2</v>
      </c>
      <c r="M3">
        <v>1</v>
      </c>
      <c r="P3" t="s">
        <v>414</v>
      </c>
      <c r="Q3" t="s">
        <v>421</v>
      </c>
      <c r="R3">
        <v>74</v>
      </c>
      <c r="S3" t="s">
        <v>406</v>
      </c>
    </row>
    <row r="4" spans="1:19" x14ac:dyDescent="0.4">
      <c r="B4" t="s">
        <v>388</v>
      </c>
      <c r="E4">
        <v>1987</v>
      </c>
      <c r="F4">
        <v>1722</v>
      </c>
      <c r="G4">
        <v>825</v>
      </c>
      <c r="H4">
        <v>1987</v>
      </c>
      <c r="I4">
        <v>2.5</v>
      </c>
      <c r="J4">
        <v>1</v>
      </c>
      <c r="K4">
        <v>0</v>
      </c>
      <c r="L4">
        <v>0</v>
      </c>
      <c r="M4">
        <v>0</v>
      </c>
      <c r="Q4" t="s">
        <v>415</v>
      </c>
      <c r="R4">
        <f>R2/R3</f>
        <v>68.243243243243242</v>
      </c>
      <c r="S4" t="s">
        <v>408</v>
      </c>
    </row>
    <row r="5" spans="1:19" x14ac:dyDescent="0.4">
      <c r="C5" t="s">
        <v>357</v>
      </c>
      <c r="E5">
        <v>28</v>
      </c>
      <c r="F5">
        <v>76</v>
      </c>
      <c r="G5">
        <v>25</v>
      </c>
      <c r="H5">
        <v>28</v>
      </c>
      <c r="I5">
        <v>0</v>
      </c>
      <c r="J5">
        <v>0</v>
      </c>
      <c r="K5">
        <v>0</v>
      </c>
      <c r="L5">
        <v>0</v>
      </c>
      <c r="M5">
        <v>0</v>
      </c>
      <c r="Q5" t="s">
        <v>420</v>
      </c>
      <c r="R5" s="29">
        <v>14.653</v>
      </c>
      <c r="S5" t="s">
        <v>409</v>
      </c>
    </row>
    <row r="6" spans="1:19" x14ac:dyDescent="0.4">
      <c r="C6" t="s">
        <v>358</v>
      </c>
      <c r="E6">
        <v>745</v>
      </c>
      <c r="F6">
        <v>1326</v>
      </c>
      <c r="G6">
        <v>440</v>
      </c>
      <c r="H6">
        <v>745</v>
      </c>
      <c r="I6">
        <v>0</v>
      </c>
      <c r="J6">
        <v>0</v>
      </c>
      <c r="K6">
        <v>0</v>
      </c>
      <c r="L6">
        <v>0</v>
      </c>
      <c r="M6">
        <v>0</v>
      </c>
      <c r="P6" t="s">
        <v>416</v>
      </c>
      <c r="Q6" s="16" t="s">
        <v>421</v>
      </c>
      <c r="R6">
        <v>62</v>
      </c>
      <c r="S6" s="16" t="s">
        <v>406</v>
      </c>
    </row>
    <row r="7" spans="1:19" x14ac:dyDescent="0.4">
      <c r="C7" t="s">
        <v>359</v>
      </c>
      <c r="E7">
        <v>95</v>
      </c>
      <c r="F7">
        <v>38</v>
      </c>
      <c r="G7">
        <v>35</v>
      </c>
      <c r="H7">
        <v>95</v>
      </c>
      <c r="I7">
        <v>1</v>
      </c>
      <c r="J7">
        <v>0</v>
      </c>
      <c r="K7">
        <v>0</v>
      </c>
      <c r="L7">
        <v>0</v>
      </c>
      <c r="M7">
        <v>0</v>
      </c>
      <c r="Q7" s="16" t="s">
        <v>415</v>
      </c>
      <c r="R7">
        <f>R2/R6</f>
        <v>81.451612903225808</v>
      </c>
      <c r="S7" s="16" t="s">
        <v>408</v>
      </c>
    </row>
    <row r="8" spans="1:19" x14ac:dyDescent="0.4">
      <c r="C8" t="s">
        <v>360</v>
      </c>
      <c r="E8">
        <v>1</v>
      </c>
      <c r="F8">
        <v>52</v>
      </c>
      <c r="G8">
        <v>13</v>
      </c>
      <c r="H8">
        <v>1</v>
      </c>
      <c r="I8">
        <v>0.5</v>
      </c>
      <c r="J8">
        <v>0</v>
      </c>
      <c r="K8">
        <v>0</v>
      </c>
      <c r="L8">
        <v>0</v>
      </c>
      <c r="M8">
        <v>0</v>
      </c>
      <c r="Q8" s="16" t="s">
        <v>420</v>
      </c>
      <c r="R8" s="29">
        <v>12.27722</v>
      </c>
      <c r="S8" s="16" t="s">
        <v>409</v>
      </c>
    </row>
    <row r="9" spans="1:19" x14ac:dyDescent="0.4">
      <c r="C9" t="s">
        <v>361</v>
      </c>
      <c r="E9">
        <v>658</v>
      </c>
      <c r="F9">
        <v>62</v>
      </c>
      <c r="G9">
        <v>187</v>
      </c>
      <c r="H9">
        <v>658</v>
      </c>
      <c r="I9">
        <v>0</v>
      </c>
      <c r="J9">
        <v>1</v>
      </c>
      <c r="K9">
        <v>0</v>
      </c>
      <c r="L9">
        <v>0</v>
      </c>
      <c r="M9">
        <v>0</v>
      </c>
      <c r="P9" t="s">
        <v>417</v>
      </c>
      <c r="Q9" s="16" t="s">
        <v>421</v>
      </c>
      <c r="R9">
        <v>74</v>
      </c>
      <c r="S9" s="16" t="s">
        <v>406</v>
      </c>
    </row>
    <row r="10" spans="1:19" x14ac:dyDescent="0.4">
      <c r="C10" t="s">
        <v>362</v>
      </c>
      <c r="E10">
        <v>61</v>
      </c>
      <c r="F10">
        <v>41</v>
      </c>
      <c r="G10">
        <v>39</v>
      </c>
      <c r="H10">
        <v>61</v>
      </c>
      <c r="I10">
        <v>0.5</v>
      </c>
      <c r="J10">
        <v>0</v>
      </c>
      <c r="K10">
        <v>0</v>
      </c>
      <c r="L10">
        <v>0</v>
      </c>
      <c r="M10">
        <v>0</v>
      </c>
      <c r="Q10" s="16" t="s">
        <v>415</v>
      </c>
      <c r="R10">
        <f>R2/R3</f>
        <v>68.243243243243242</v>
      </c>
      <c r="S10" s="16" t="s">
        <v>408</v>
      </c>
    </row>
    <row r="11" spans="1:19" x14ac:dyDescent="0.4">
      <c r="C11" t="s">
        <v>363</v>
      </c>
      <c r="E11">
        <v>15</v>
      </c>
      <c r="F11">
        <v>40</v>
      </c>
      <c r="G11">
        <v>9</v>
      </c>
      <c r="H11">
        <v>15</v>
      </c>
      <c r="I11">
        <v>0</v>
      </c>
      <c r="J11">
        <v>0</v>
      </c>
      <c r="K11">
        <v>0</v>
      </c>
      <c r="L11">
        <v>0</v>
      </c>
      <c r="M11">
        <v>0</v>
      </c>
      <c r="Q11" s="16" t="s">
        <v>420</v>
      </c>
      <c r="R11">
        <v>14.653</v>
      </c>
      <c r="S11" s="16" t="s">
        <v>409</v>
      </c>
    </row>
    <row r="12" spans="1:19" x14ac:dyDescent="0.4">
      <c r="C12" t="s">
        <v>364</v>
      </c>
      <c r="E12">
        <v>0</v>
      </c>
      <c r="F12">
        <v>38</v>
      </c>
      <c r="G12">
        <v>10</v>
      </c>
      <c r="H12">
        <v>0</v>
      </c>
      <c r="I12">
        <v>0.5</v>
      </c>
      <c r="J12">
        <v>0</v>
      </c>
      <c r="K12">
        <v>0</v>
      </c>
      <c r="L12">
        <v>0</v>
      </c>
      <c r="M12">
        <v>0</v>
      </c>
    </row>
    <row r="13" spans="1:19" x14ac:dyDescent="0.4">
      <c r="C13" t="s">
        <v>365</v>
      </c>
    </row>
    <row r="14" spans="1:19" x14ac:dyDescent="0.4">
      <c r="C14" t="s">
        <v>366</v>
      </c>
      <c r="E14">
        <v>382</v>
      </c>
      <c r="F14">
        <v>11</v>
      </c>
      <c r="G14">
        <v>109</v>
      </c>
      <c r="H14">
        <v>382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9" x14ac:dyDescent="0.4">
      <c r="D15" t="s">
        <v>368</v>
      </c>
      <c r="E15">
        <v>92</v>
      </c>
      <c r="F15">
        <v>0</v>
      </c>
      <c r="G15">
        <v>30</v>
      </c>
      <c r="H15">
        <v>92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9" x14ac:dyDescent="0.4">
      <c r="D16" t="s">
        <v>369</v>
      </c>
      <c r="E16">
        <v>35</v>
      </c>
      <c r="F16">
        <v>0</v>
      </c>
      <c r="G16">
        <v>13</v>
      </c>
      <c r="H16">
        <v>35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2:13" x14ac:dyDescent="0.4">
      <c r="D17" t="s">
        <v>370</v>
      </c>
      <c r="E17">
        <v>35</v>
      </c>
      <c r="F17">
        <v>1</v>
      </c>
      <c r="G17">
        <v>13</v>
      </c>
      <c r="H17">
        <v>35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2:13" x14ac:dyDescent="0.4">
      <c r="D18" t="s">
        <v>371</v>
      </c>
      <c r="E18">
        <v>35</v>
      </c>
      <c r="F18">
        <v>0</v>
      </c>
      <c r="G18">
        <v>12</v>
      </c>
      <c r="H18">
        <v>35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2:13" x14ac:dyDescent="0.4">
      <c r="D19" t="s">
        <v>372</v>
      </c>
      <c r="E19">
        <v>28</v>
      </c>
      <c r="F19">
        <v>1</v>
      </c>
      <c r="G19">
        <v>9</v>
      </c>
      <c r="H19">
        <v>28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2:13" x14ac:dyDescent="0.4">
      <c r="D20" t="s">
        <v>373</v>
      </c>
      <c r="E20">
        <v>44</v>
      </c>
      <c r="F20">
        <v>0</v>
      </c>
      <c r="G20">
        <v>17</v>
      </c>
      <c r="H20">
        <v>44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2:13" x14ac:dyDescent="0.4">
      <c r="D21" t="s">
        <v>374</v>
      </c>
      <c r="E21">
        <v>60</v>
      </c>
      <c r="F21">
        <v>8</v>
      </c>
      <c r="G21">
        <v>22</v>
      </c>
      <c r="H21">
        <v>60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2:13" x14ac:dyDescent="0.4">
      <c r="D22" t="s">
        <v>367</v>
      </c>
      <c r="E22">
        <v>34</v>
      </c>
      <c r="F22">
        <v>1</v>
      </c>
      <c r="G22">
        <v>16</v>
      </c>
      <c r="H22">
        <v>34</v>
      </c>
      <c r="I22">
        <v>0</v>
      </c>
      <c r="J22">
        <v>0</v>
      </c>
      <c r="K22">
        <v>0</v>
      </c>
      <c r="L22">
        <v>0</v>
      </c>
      <c r="M22">
        <v>0</v>
      </c>
    </row>
    <row r="26" spans="2:13" x14ac:dyDescent="0.4">
      <c r="B26" t="s">
        <v>385</v>
      </c>
      <c r="E26">
        <v>1980</v>
      </c>
      <c r="F26">
        <v>1722</v>
      </c>
      <c r="G26">
        <v>825</v>
      </c>
      <c r="H26">
        <v>1987</v>
      </c>
      <c r="I26">
        <v>2.5</v>
      </c>
      <c r="J26">
        <v>1</v>
      </c>
      <c r="K26">
        <v>0</v>
      </c>
      <c r="L26">
        <v>0</v>
      </c>
      <c r="M26">
        <v>0</v>
      </c>
    </row>
    <row r="27" spans="2:13" x14ac:dyDescent="0.4">
      <c r="C27" s="16" t="s">
        <v>357</v>
      </c>
      <c r="D27" s="16"/>
      <c r="E27">
        <v>28</v>
      </c>
      <c r="F27">
        <v>76</v>
      </c>
      <c r="G27">
        <v>19</v>
      </c>
      <c r="H27">
        <v>28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2:13" x14ac:dyDescent="0.4">
      <c r="C28" s="16" t="s">
        <v>358</v>
      </c>
      <c r="D28" s="16"/>
      <c r="E28">
        <v>745</v>
      </c>
      <c r="F28">
        <v>1326</v>
      </c>
      <c r="G28">
        <v>435</v>
      </c>
      <c r="H28">
        <v>745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2:13" x14ac:dyDescent="0.4">
      <c r="C29" s="16" t="s">
        <v>359</v>
      </c>
      <c r="D29" s="16"/>
      <c r="E29">
        <v>87</v>
      </c>
      <c r="F29">
        <v>38</v>
      </c>
      <c r="G29">
        <v>30</v>
      </c>
      <c r="H29">
        <v>87</v>
      </c>
      <c r="I29">
        <v>1</v>
      </c>
      <c r="J29">
        <v>0</v>
      </c>
      <c r="K29">
        <v>0</v>
      </c>
      <c r="L29">
        <v>0</v>
      </c>
      <c r="M29">
        <v>0</v>
      </c>
    </row>
    <row r="30" spans="2:13" x14ac:dyDescent="0.4">
      <c r="C30" s="16" t="s">
        <v>360</v>
      </c>
      <c r="D30" s="16"/>
      <c r="E30">
        <v>1</v>
      </c>
      <c r="F30">
        <v>52</v>
      </c>
      <c r="G30">
        <v>15</v>
      </c>
      <c r="H30">
        <v>1</v>
      </c>
      <c r="I30">
        <v>0.5</v>
      </c>
      <c r="J30">
        <v>0</v>
      </c>
      <c r="K30">
        <v>0</v>
      </c>
      <c r="L30">
        <v>0</v>
      </c>
      <c r="M30">
        <v>0</v>
      </c>
    </row>
    <row r="31" spans="2:13" x14ac:dyDescent="0.4">
      <c r="C31" s="16" t="s">
        <v>361</v>
      </c>
      <c r="D31" s="16"/>
      <c r="E31">
        <v>659</v>
      </c>
      <c r="F31">
        <v>62</v>
      </c>
      <c r="G31">
        <v>190</v>
      </c>
      <c r="H31">
        <v>659</v>
      </c>
      <c r="I31">
        <v>0</v>
      </c>
      <c r="J31">
        <v>1</v>
      </c>
      <c r="K31">
        <v>0</v>
      </c>
      <c r="L31">
        <v>0</v>
      </c>
      <c r="M31">
        <v>0</v>
      </c>
    </row>
    <row r="32" spans="2:13" x14ac:dyDescent="0.4">
      <c r="C32" s="16" t="s">
        <v>362</v>
      </c>
      <c r="D32" s="16"/>
      <c r="E32">
        <v>72</v>
      </c>
      <c r="F32">
        <v>41</v>
      </c>
      <c r="G32">
        <v>49</v>
      </c>
      <c r="H32">
        <v>72</v>
      </c>
      <c r="I32">
        <v>0.5</v>
      </c>
      <c r="J32">
        <v>0</v>
      </c>
      <c r="K32">
        <v>0</v>
      </c>
      <c r="L32">
        <v>0</v>
      </c>
      <c r="M32">
        <v>0</v>
      </c>
    </row>
    <row r="33" spans="2:13" x14ac:dyDescent="0.4">
      <c r="C33" s="16" t="s">
        <v>363</v>
      </c>
      <c r="D33" s="16"/>
      <c r="E33">
        <v>16</v>
      </c>
      <c r="F33">
        <v>40</v>
      </c>
      <c r="G33">
        <v>10</v>
      </c>
      <c r="H33">
        <v>16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2:13" x14ac:dyDescent="0.4">
      <c r="C34" s="16" t="s">
        <v>364</v>
      </c>
      <c r="D34" s="16"/>
      <c r="E34">
        <v>0</v>
      </c>
      <c r="F34">
        <v>38</v>
      </c>
      <c r="G34">
        <v>7</v>
      </c>
      <c r="H34">
        <v>0</v>
      </c>
      <c r="I34">
        <v>0.5</v>
      </c>
      <c r="J34">
        <v>0</v>
      </c>
      <c r="K34">
        <v>0</v>
      </c>
      <c r="L34">
        <v>0</v>
      </c>
      <c r="M34">
        <v>0</v>
      </c>
    </row>
    <row r="35" spans="2:13" x14ac:dyDescent="0.4">
      <c r="C35" s="16" t="s">
        <v>365</v>
      </c>
      <c r="D35" s="16"/>
    </row>
    <row r="36" spans="2:13" x14ac:dyDescent="0.4">
      <c r="C36" s="16" t="s">
        <v>366</v>
      </c>
      <c r="D36" s="16"/>
      <c r="E36">
        <v>371</v>
      </c>
      <c r="F36">
        <v>11</v>
      </c>
      <c r="G36">
        <v>107</v>
      </c>
      <c r="H36">
        <v>371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2:13" x14ac:dyDescent="0.4">
      <c r="C37" s="16"/>
      <c r="D37" s="16" t="s">
        <v>368</v>
      </c>
      <c r="E37">
        <v>73</v>
      </c>
      <c r="F37">
        <v>0</v>
      </c>
      <c r="G37">
        <v>20</v>
      </c>
      <c r="H37">
        <v>73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2:13" x14ac:dyDescent="0.4">
      <c r="C38" s="16"/>
      <c r="D38" s="16" t="s">
        <v>369</v>
      </c>
      <c r="E38">
        <v>43</v>
      </c>
      <c r="F38">
        <v>0</v>
      </c>
      <c r="G38">
        <v>15</v>
      </c>
      <c r="H38">
        <v>43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2:13" x14ac:dyDescent="0.4">
      <c r="C39" s="16"/>
      <c r="D39" s="16" t="s">
        <v>370</v>
      </c>
      <c r="E39">
        <v>34</v>
      </c>
      <c r="F39">
        <v>1</v>
      </c>
      <c r="G39">
        <v>13</v>
      </c>
      <c r="H39">
        <v>34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2:13" x14ac:dyDescent="0.4">
      <c r="C40" s="16"/>
      <c r="D40" s="16" t="s">
        <v>371</v>
      </c>
      <c r="E40">
        <v>34</v>
      </c>
      <c r="F40">
        <v>0</v>
      </c>
      <c r="G40">
        <v>13</v>
      </c>
      <c r="H40">
        <v>34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2:13" x14ac:dyDescent="0.4">
      <c r="C41" s="16"/>
      <c r="D41" s="16" t="s">
        <v>372</v>
      </c>
      <c r="E41">
        <v>31</v>
      </c>
      <c r="F41">
        <v>1</v>
      </c>
      <c r="G41">
        <v>10</v>
      </c>
      <c r="H41">
        <v>31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2:13" x14ac:dyDescent="0.4">
      <c r="C42" s="16"/>
      <c r="D42" s="16" t="s">
        <v>373</v>
      </c>
      <c r="E42">
        <v>41</v>
      </c>
      <c r="F42">
        <v>0</v>
      </c>
      <c r="G42">
        <v>15</v>
      </c>
      <c r="H42">
        <v>41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2:13" x14ac:dyDescent="0.4">
      <c r="C43" s="16"/>
      <c r="D43" s="16" t="s">
        <v>374</v>
      </c>
      <c r="E43">
        <v>69</v>
      </c>
      <c r="F43">
        <v>8</v>
      </c>
      <c r="G43">
        <v>22</v>
      </c>
      <c r="H43">
        <v>69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2:13" x14ac:dyDescent="0.4">
      <c r="C44" s="16"/>
      <c r="D44" s="16" t="s">
        <v>367</v>
      </c>
      <c r="E44">
        <v>33</v>
      </c>
      <c r="F44">
        <v>1</v>
      </c>
      <c r="G44">
        <v>11</v>
      </c>
      <c r="H44">
        <v>33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2:13" x14ac:dyDescent="0.4">
      <c r="C45" s="16"/>
      <c r="D45" s="16"/>
    </row>
    <row r="46" spans="2:13" x14ac:dyDescent="0.4">
      <c r="C46" s="16"/>
      <c r="D46" s="16"/>
    </row>
    <row r="48" spans="2:13" x14ac:dyDescent="0.4">
      <c r="B48" t="s">
        <v>386</v>
      </c>
      <c r="E48">
        <v>1995</v>
      </c>
      <c r="F48">
        <v>1722</v>
      </c>
      <c r="G48">
        <v>844</v>
      </c>
      <c r="H48">
        <v>1995</v>
      </c>
      <c r="I48">
        <v>2.5</v>
      </c>
      <c r="J48">
        <v>1</v>
      </c>
      <c r="K48">
        <v>0</v>
      </c>
      <c r="L48">
        <v>0</v>
      </c>
      <c r="M48">
        <v>0</v>
      </c>
    </row>
    <row r="49" spans="3:13" x14ac:dyDescent="0.4">
      <c r="C49" s="16" t="s">
        <v>357</v>
      </c>
      <c r="D49" s="16"/>
      <c r="E49">
        <v>28</v>
      </c>
      <c r="F49">
        <v>76</v>
      </c>
      <c r="G49">
        <v>26</v>
      </c>
      <c r="H49">
        <v>28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3:13" x14ac:dyDescent="0.4">
      <c r="C50" s="16" t="s">
        <v>358</v>
      </c>
      <c r="D50" s="16"/>
      <c r="E50">
        <v>745</v>
      </c>
      <c r="F50">
        <v>1326</v>
      </c>
      <c r="G50">
        <v>439</v>
      </c>
      <c r="H50">
        <v>745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3:13" x14ac:dyDescent="0.4">
      <c r="C51" s="16" t="s">
        <v>359</v>
      </c>
      <c r="D51" s="16"/>
      <c r="E51">
        <v>93</v>
      </c>
      <c r="F51">
        <v>38</v>
      </c>
      <c r="G51">
        <v>37</v>
      </c>
      <c r="H51">
        <v>93</v>
      </c>
      <c r="I51">
        <v>1</v>
      </c>
      <c r="J51">
        <v>0</v>
      </c>
      <c r="K51">
        <v>0</v>
      </c>
      <c r="L51">
        <v>0</v>
      </c>
      <c r="M51">
        <v>0</v>
      </c>
    </row>
    <row r="52" spans="3:13" x14ac:dyDescent="0.4">
      <c r="C52" s="16" t="s">
        <v>360</v>
      </c>
      <c r="D52" s="16"/>
      <c r="E52">
        <v>1</v>
      </c>
      <c r="F52">
        <v>52</v>
      </c>
      <c r="G52">
        <v>17</v>
      </c>
      <c r="H52">
        <v>1</v>
      </c>
      <c r="I52">
        <v>0.5</v>
      </c>
      <c r="J52">
        <v>0</v>
      </c>
      <c r="K52">
        <v>0</v>
      </c>
      <c r="L52">
        <v>0</v>
      </c>
      <c r="M52">
        <v>0</v>
      </c>
    </row>
    <row r="53" spans="3:13" x14ac:dyDescent="0.4">
      <c r="C53" s="16" t="s">
        <v>361</v>
      </c>
      <c r="D53" s="16"/>
      <c r="E53">
        <v>661</v>
      </c>
      <c r="F53">
        <v>62</v>
      </c>
      <c r="G53">
        <v>196</v>
      </c>
      <c r="H53">
        <v>661</v>
      </c>
      <c r="I53">
        <v>0</v>
      </c>
      <c r="J53">
        <v>1</v>
      </c>
      <c r="K53">
        <v>0</v>
      </c>
      <c r="L53">
        <v>0</v>
      </c>
      <c r="M53">
        <v>0</v>
      </c>
    </row>
    <row r="54" spans="3:13" x14ac:dyDescent="0.4">
      <c r="C54" s="16" t="s">
        <v>362</v>
      </c>
      <c r="D54" s="16"/>
      <c r="E54">
        <v>70</v>
      </c>
      <c r="F54">
        <v>41</v>
      </c>
      <c r="G54">
        <v>42</v>
      </c>
      <c r="H54">
        <v>70</v>
      </c>
      <c r="I54">
        <v>0.5</v>
      </c>
      <c r="J54">
        <v>0</v>
      </c>
      <c r="K54">
        <v>0</v>
      </c>
      <c r="L54">
        <v>0</v>
      </c>
      <c r="M54">
        <v>0</v>
      </c>
    </row>
    <row r="55" spans="3:13" x14ac:dyDescent="0.4">
      <c r="C55" s="16" t="s">
        <v>363</v>
      </c>
      <c r="D55" s="16"/>
      <c r="E55">
        <v>15</v>
      </c>
      <c r="F55">
        <v>40</v>
      </c>
      <c r="G55">
        <v>10</v>
      </c>
      <c r="H55">
        <v>15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3:13" x14ac:dyDescent="0.4">
      <c r="C56" s="16" t="s">
        <v>364</v>
      </c>
      <c r="D56" s="16"/>
      <c r="E56">
        <v>0</v>
      </c>
      <c r="F56">
        <v>38</v>
      </c>
      <c r="G56">
        <v>8</v>
      </c>
      <c r="H56">
        <v>0</v>
      </c>
      <c r="I56">
        <v>0.5</v>
      </c>
      <c r="J56">
        <v>0</v>
      </c>
      <c r="K56">
        <v>0</v>
      </c>
      <c r="L56">
        <v>0</v>
      </c>
      <c r="M56">
        <v>0</v>
      </c>
    </row>
    <row r="57" spans="3:13" x14ac:dyDescent="0.4">
      <c r="C57" s="16" t="s">
        <v>365</v>
      </c>
      <c r="D57" s="16"/>
    </row>
    <row r="58" spans="3:13" x14ac:dyDescent="0.4">
      <c r="C58" s="16" t="s">
        <v>366</v>
      </c>
      <c r="D58" s="16"/>
      <c r="E58">
        <v>380</v>
      </c>
      <c r="F58">
        <v>11</v>
      </c>
      <c r="G58">
        <v>113</v>
      </c>
      <c r="H58">
        <v>380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3:13" x14ac:dyDescent="0.4">
      <c r="C59" s="16"/>
      <c r="D59" s="16" t="s">
        <v>368</v>
      </c>
      <c r="E59">
        <v>82</v>
      </c>
      <c r="F59">
        <v>0</v>
      </c>
      <c r="G59">
        <v>25</v>
      </c>
      <c r="H59">
        <v>82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3:13" x14ac:dyDescent="0.4">
      <c r="C60" s="16"/>
      <c r="D60" s="16" t="s">
        <v>369</v>
      </c>
      <c r="E60">
        <v>39</v>
      </c>
      <c r="F60">
        <v>0</v>
      </c>
      <c r="G60">
        <v>12</v>
      </c>
      <c r="H60">
        <v>39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3:13" x14ac:dyDescent="0.4">
      <c r="C61" s="16"/>
      <c r="D61" s="16" t="s">
        <v>370</v>
      </c>
      <c r="E61">
        <v>29</v>
      </c>
      <c r="F61">
        <v>1</v>
      </c>
      <c r="G61">
        <v>10</v>
      </c>
      <c r="H61">
        <v>29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3:13" x14ac:dyDescent="0.4">
      <c r="C62" s="16"/>
      <c r="D62" s="16" t="s">
        <v>371</v>
      </c>
      <c r="E62">
        <v>33</v>
      </c>
      <c r="F62">
        <v>0</v>
      </c>
      <c r="G62">
        <v>13</v>
      </c>
      <c r="H62">
        <v>33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3:13" x14ac:dyDescent="0.4">
      <c r="C63" s="16"/>
      <c r="D63" s="16" t="s">
        <v>372</v>
      </c>
      <c r="E63">
        <v>31</v>
      </c>
      <c r="F63">
        <v>1</v>
      </c>
      <c r="G63">
        <v>13</v>
      </c>
      <c r="H63">
        <v>31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3:13" x14ac:dyDescent="0.4">
      <c r="C64" s="16"/>
      <c r="D64" s="16" t="s">
        <v>373</v>
      </c>
      <c r="E64">
        <v>41</v>
      </c>
      <c r="F64">
        <v>0</v>
      </c>
      <c r="G64">
        <v>15</v>
      </c>
      <c r="H64">
        <v>41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2:13" x14ac:dyDescent="0.4">
      <c r="C65" s="16"/>
      <c r="D65" s="16" t="s">
        <v>374</v>
      </c>
      <c r="E65">
        <v>71</v>
      </c>
      <c r="F65">
        <v>8</v>
      </c>
      <c r="G65">
        <v>22</v>
      </c>
      <c r="H65">
        <v>71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2:13" x14ac:dyDescent="0.4">
      <c r="C66" s="16"/>
      <c r="D66" s="16" t="s">
        <v>367</v>
      </c>
      <c r="E66">
        <v>29</v>
      </c>
      <c r="F66">
        <v>1</v>
      </c>
      <c r="G66">
        <v>12</v>
      </c>
      <c r="H66">
        <v>29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2:13" x14ac:dyDescent="0.4">
      <c r="C67" s="16"/>
      <c r="D67" s="16"/>
    </row>
    <row r="68" spans="2:13" x14ac:dyDescent="0.4">
      <c r="C68" s="16"/>
      <c r="D68" s="16"/>
    </row>
    <row r="70" spans="2:13" x14ac:dyDescent="0.4">
      <c r="B70" t="s">
        <v>387</v>
      </c>
      <c r="E70">
        <v>2008</v>
      </c>
      <c r="F70">
        <v>1722</v>
      </c>
      <c r="G70">
        <v>853</v>
      </c>
      <c r="H70">
        <v>2008</v>
      </c>
      <c r="I70">
        <v>2.5</v>
      </c>
      <c r="J70">
        <v>1</v>
      </c>
      <c r="K70">
        <v>0</v>
      </c>
      <c r="L70">
        <v>0</v>
      </c>
      <c r="M70">
        <v>0</v>
      </c>
    </row>
    <row r="71" spans="2:13" x14ac:dyDescent="0.4">
      <c r="C71" s="16" t="s">
        <v>357</v>
      </c>
      <c r="D71" s="16"/>
      <c r="E71">
        <v>28</v>
      </c>
      <c r="F71">
        <v>76</v>
      </c>
      <c r="G71">
        <v>26</v>
      </c>
      <c r="H71">
        <v>28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2:13" x14ac:dyDescent="0.4">
      <c r="C72" s="16" t="s">
        <v>358</v>
      </c>
      <c r="D72" s="16"/>
      <c r="E72">
        <v>745</v>
      </c>
      <c r="F72">
        <v>1326</v>
      </c>
      <c r="G72">
        <v>451</v>
      </c>
      <c r="H72">
        <v>745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2:13" x14ac:dyDescent="0.4">
      <c r="C73" s="16" t="s">
        <v>359</v>
      </c>
      <c r="D73" s="16"/>
      <c r="E73">
        <v>95</v>
      </c>
      <c r="F73">
        <v>38</v>
      </c>
      <c r="G73">
        <v>32</v>
      </c>
      <c r="H73">
        <v>95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2:13" x14ac:dyDescent="0.4">
      <c r="C74" s="16" t="s">
        <v>360</v>
      </c>
      <c r="D74" s="16"/>
      <c r="E74">
        <v>1</v>
      </c>
      <c r="F74">
        <v>52</v>
      </c>
      <c r="G74">
        <v>17</v>
      </c>
      <c r="H74">
        <v>1</v>
      </c>
      <c r="I74">
        <v>0.5</v>
      </c>
      <c r="J74">
        <v>0</v>
      </c>
      <c r="K74">
        <v>0</v>
      </c>
      <c r="L74">
        <v>0</v>
      </c>
      <c r="M74">
        <v>0</v>
      </c>
    </row>
    <row r="75" spans="2:13" x14ac:dyDescent="0.4">
      <c r="C75" s="16" t="s">
        <v>361</v>
      </c>
      <c r="D75" s="16"/>
      <c r="E75">
        <v>655</v>
      </c>
      <c r="F75">
        <v>62</v>
      </c>
      <c r="G75">
        <v>185</v>
      </c>
      <c r="H75">
        <v>655</v>
      </c>
      <c r="I75">
        <v>0</v>
      </c>
      <c r="J75">
        <v>1</v>
      </c>
      <c r="K75">
        <v>0</v>
      </c>
      <c r="L75">
        <v>0</v>
      </c>
      <c r="M75">
        <v>0</v>
      </c>
    </row>
    <row r="76" spans="2:13" x14ac:dyDescent="0.4">
      <c r="C76" s="16" t="s">
        <v>362</v>
      </c>
      <c r="D76" s="16"/>
      <c r="E76">
        <v>67</v>
      </c>
      <c r="F76">
        <v>41</v>
      </c>
      <c r="G76">
        <v>47</v>
      </c>
      <c r="H76">
        <v>67</v>
      </c>
      <c r="I76">
        <v>0.5</v>
      </c>
      <c r="J76">
        <v>0</v>
      </c>
      <c r="K76">
        <v>0</v>
      </c>
      <c r="L76">
        <v>0</v>
      </c>
      <c r="M76">
        <v>0</v>
      </c>
    </row>
    <row r="77" spans="2:13" x14ac:dyDescent="0.4">
      <c r="C77" s="16" t="s">
        <v>363</v>
      </c>
      <c r="D77" s="16"/>
      <c r="E77">
        <v>15</v>
      </c>
      <c r="F77">
        <v>40</v>
      </c>
      <c r="G77">
        <v>10</v>
      </c>
      <c r="H77">
        <v>15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2:13" x14ac:dyDescent="0.4">
      <c r="C78" s="16" t="s">
        <v>364</v>
      </c>
      <c r="D78" s="16"/>
      <c r="E78">
        <v>0</v>
      </c>
      <c r="F78">
        <v>38</v>
      </c>
      <c r="G78">
        <v>9</v>
      </c>
      <c r="H78">
        <v>0</v>
      </c>
      <c r="I78">
        <v>0.5</v>
      </c>
      <c r="J78">
        <v>0</v>
      </c>
      <c r="K78">
        <v>0</v>
      </c>
      <c r="L78">
        <v>0</v>
      </c>
      <c r="M78">
        <v>0</v>
      </c>
    </row>
    <row r="79" spans="2:13" x14ac:dyDescent="0.4">
      <c r="C79" s="16" t="s">
        <v>365</v>
      </c>
      <c r="D79" s="16"/>
    </row>
    <row r="80" spans="2:13" x14ac:dyDescent="0.4">
      <c r="C80" s="16" t="s">
        <v>366</v>
      </c>
      <c r="D80" s="16"/>
      <c r="E80">
        <v>402</v>
      </c>
      <c r="F80">
        <v>11</v>
      </c>
      <c r="G80">
        <v>120</v>
      </c>
      <c r="H80">
        <v>402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2:13" x14ac:dyDescent="0.4">
      <c r="C81" s="16"/>
      <c r="D81" s="16" t="s">
        <v>368</v>
      </c>
      <c r="E81">
        <v>88</v>
      </c>
      <c r="F81">
        <v>0</v>
      </c>
      <c r="G81">
        <v>26</v>
      </c>
      <c r="H81">
        <v>88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2:13" x14ac:dyDescent="0.4">
      <c r="C82" s="16"/>
      <c r="D82" s="16" t="s">
        <v>369</v>
      </c>
      <c r="E82">
        <v>41</v>
      </c>
      <c r="F82">
        <v>0</v>
      </c>
      <c r="G82">
        <v>15</v>
      </c>
      <c r="H82">
        <v>41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2:13" x14ac:dyDescent="0.4">
      <c r="C83" s="16"/>
      <c r="D83" s="16" t="s">
        <v>370</v>
      </c>
      <c r="E83">
        <v>31</v>
      </c>
      <c r="F83">
        <v>1</v>
      </c>
      <c r="G83">
        <v>13</v>
      </c>
      <c r="H83">
        <v>31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2:13" x14ac:dyDescent="0.4">
      <c r="C84" s="16"/>
      <c r="D84" s="16" t="s">
        <v>371</v>
      </c>
      <c r="E84">
        <v>40</v>
      </c>
      <c r="F84">
        <v>0</v>
      </c>
      <c r="G84">
        <v>12</v>
      </c>
      <c r="H84">
        <v>40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2:13" x14ac:dyDescent="0.4">
      <c r="C85" s="16"/>
      <c r="D85" s="16" t="s">
        <v>372</v>
      </c>
      <c r="E85">
        <v>32</v>
      </c>
      <c r="F85">
        <v>1</v>
      </c>
      <c r="G85">
        <v>12</v>
      </c>
      <c r="H85">
        <v>32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2:13" x14ac:dyDescent="0.4">
      <c r="C86" s="16"/>
      <c r="D86" s="16" t="s">
        <v>373</v>
      </c>
      <c r="E86">
        <v>39</v>
      </c>
      <c r="F86">
        <v>0</v>
      </c>
      <c r="G86">
        <v>16</v>
      </c>
      <c r="H86">
        <v>39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2:13" x14ac:dyDescent="0.4">
      <c r="C87" s="16"/>
      <c r="D87" s="16" t="s">
        <v>374</v>
      </c>
      <c r="E87">
        <v>75</v>
      </c>
      <c r="F87">
        <v>8</v>
      </c>
      <c r="G87">
        <v>27</v>
      </c>
      <c r="H87">
        <v>75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2:13" x14ac:dyDescent="0.4">
      <c r="C88" s="16"/>
      <c r="D88" s="16" t="s">
        <v>367</v>
      </c>
      <c r="E88">
        <v>27</v>
      </c>
      <c r="F88">
        <v>1</v>
      </c>
      <c r="G88">
        <v>9</v>
      </c>
      <c r="H88">
        <v>27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2:13" x14ac:dyDescent="0.4">
      <c r="C89" s="16"/>
      <c r="D89" s="16"/>
    </row>
    <row r="90" spans="2:13" x14ac:dyDescent="0.4">
      <c r="C90" s="16"/>
      <c r="D90" s="16"/>
    </row>
    <row r="91" spans="2:13" x14ac:dyDescent="0.4">
      <c r="B91" t="s">
        <v>382</v>
      </c>
      <c r="E91">
        <f>SUM(E92:E100)</f>
        <v>66</v>
      </c>
      <c r="F91" s="16">
        <f t="shared" ref="F91:M91" si="0">SUM(F92:F100)</f>
        <v>50</v>
      </c>
      <c r="G91" s="16">
        <f t="shared" si="0"/>
        <v>35</v>
      </c>
      <c r="H91" s="16">
        <f t="shared" si="0"/>
        <v>66</v>
      </c>
      <c r="I91" s="16">
        <f t="shared" si="0"/>
        <v>0.5</v>
      </c>
      <c r="J91" s="16">
        <f t="shared" si="0"/>
        <v>0</v>
      </c>
      <c r="K91" s="16">
        <f t="shared" si="0"/>
        <v>0</v>
      </c>
      <c r="L91" s="16">
        <f t="shared" si="0"/>
        <v>1</v>
      </c>
      <c r="M91" s="16">
        <f t="shared" si="0"/>
        <v>1</v>
      </c>
    </row>
    <row r="92" spans="2:13" x14ac:dyDescent="0.4">
      <c r="C92" t="s">
        <v>389</v>
      </c>
      <c r="E92">
        <v>30</v>
      </c>
      <c r="F92">
        <v>9</v>
      </c>
      <c r="G92">
        <v>13</v>
      </c>
      <c r="H92">
        <v>30</v>
      </c>
      <c r="I92">
        <v>0.5</v>
      </c>
      <c r="J92">
        <v>0</v>
      </c>
      <c r="K92">
        <v>0</v>
      </c>
      <c r="L92">
        <v>0</v>
      </c>
      <c r="M92">
        <v>0</v>
      </c>
    </row>
    <row r="93" spans="2:13" x14ac:dyDescent="0.4">
      <c r="C93" t="s">
        <v>390</v>
      </c>
      <c r="E93">
        <v>9</v>
      </c>
      <c r="F93">
        <v>15</v>
      </c>
      <c r="G93">
        <v>6</v>
      </c>
      <c r="H93">
        <v>9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2:13" x14ac:dyDescent="0.4">
      <c r="C94" t="s">
        <v>391</v>
      </c>
      <c r="E94">
        <v>3</v>
      </c>
      <c r="F94">
        <v>0</v>
      </c>
      <c r="G94">
        <v>2</v>
      </c>
      <c r="H94">
        <v>3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2:13" x14ac:dyDescent="0.4">
      <c r="C95" s="16" t="s">
        <v>392</v>
      </c>
      <c r="E95">
        <v>4</v>
      </c>
      <c r="F95">
        <v>0</v>
      </c>
      <c r="G95">
        <v>1</v>
      </c>
      <c r="H95">
        <v>4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2:13" x14ac:dyDescent="0.4">
      <c r="C96" s="16" t="s">
        <v>393</v>
      </c>
      <c r="E96">
        <v>5</v>
      </c>
      <c r="F96">
        <v>0</v>
      </c>
      <c r="G96">
        <v>2</v>
      </c>
      <c r="H96">
        <v>5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4">
      <c r="C97" s="16" t="s">
        <v>394</v>
      </c>
      <c r="E97">
        <v>5</v>
      </c>
      <c r="F97">
        <v>0</v>
      </c>
      <c r="G97">
        <v>2</v>
      </c>
      <c r="H97">
        <v>5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4">
      <c r="C98" s="16" t="s">
        <v>395</v>
      </c>
      <c r="E98">
        <v>10</v>
      </c>
      <c r="F98">
        <v>24</v>
      </c>
      <c r="G98">
        <v>8</v>
      </c>
      <c r="H98">
        <v>10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4">
      <c r="C99" t="s">
        <v>396</v>
      </c>
      <c r="E99">
        <v>0</v>
      </c>
      <c r="F99">
        <v>2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4">
      <c r="C100" t="s">
        <v>383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</row>
    <row r="104" spans="1:13" x14ac:dyDescent="0.4">
      <c r="A104" t="s">
        <v>45</v>
      </c>
      <c r="B104" t="s">
        <v>398</v>
      </c>
      <c r="C104" t="s">
        <v>77</v>
      </c>
      <c r="D104" t="s">
        <v>78</v>
      </c>
      <c r="F104" t="s">
        <v>437</v>
      </c>
      <c r="G104" s="16" t="s">
        <v>77</v>
      </c>
      <c r="H104" s="16" t="s">
        <v>78</v>
      </c>
    </row>
    <row r="105" spans="1:13" x14ac:dyDescent="0.4">
      <c r="B105" s="16">
        <v>0</v>
      </c>
      <c r="C105">
        <v>1.504</v>
      </c>
      <c r="D105">
        <v>1.476</v>
      </c>
      <c r="F105" s="16">
        <v>0</v>
      </c>
      <c r="G105">
        <v>1.591</v>
      </c>
    </row>
    <row r="106" spans="1:13" x14ac:dyDescent="0.4">
      <c r="B106" s="16">
        <v>0</v>
      </c>
      <c r="C106">
        <v>1.504</v>
      </c>
      <c r="D106">
        <v>1.4610000000000001</v>
      </c>
      <c r="F106" s="16">
        <v>0</v>
      </c>
      <c r="G106">
        <v>1.591</v>
      </c>
    </row>
    <row r="107" spans="1:13" x14ac:dyDescent="0.4">
      <c r="B107" s="16">
        <v>1</v>
      </c>
      <c r="C107">
        <v>1.4970000000000001</v>
      </c>
      <c r="D107">
        <v>1.466</v>
      </c>
      <c r="F107" s="16">
        <v>1</v>
      </c>
      <c r="G107">
        <v>1.581</v>
      </c>
    </row>
    <row r="108" spans="1:13" x14ac:dyDescent="0.4">
      <c r="B108" s="16">
        <v>1</v>
      </c>
      <c r="C108">
        <v>1.494</v>
      </c>
      <c r="D108">
        <v>1.464</v>
      </c>
      <c r="F108" s="16">
        <v>1</v>
      </c>
      <c r="G108">
        <v>1.581</v>
      </c>
    </row>
    <row r="109" spans="1:13" x14ac:dyDescent="0.4">
      <c r="B109" s="16">
        <v>2</v>
      </c>
      <c r="C109">
        <v>1.494</v>
      </c>
      <c r="D109">
        <v>1.464</v>
      </c>
      <c r="F109" s="16">
        <v>2</v>
      </c>
      <c r="G109">
        <v>1.601</v>
      </c>
    </row>
    <row r="110" spans="1:13" x14ac:dyDescent="0.4">
      <c r="B110" s="16">
        <v>2</v>
      </c>
      <c r="C110">
        <v>1.494</v>
      </c>
      <c r="D110">
        <v>1.464</v>
      </c>
      <c r="F110" s="16">
        <v>2</v>
      </c>
      <c r="G110">
        <v>1.591</v>
      </c>
    </row>
    <row r="111" spans="1:13" x14ac:dyDescent="0.4">
      <c r="B111" s="16">
        <v>3</v>
      </c>
      <c r="C111">
        <v>1.5169999999999999</v>
      </c>
      <c r="D111">
        <v>1.466</v>
      </c>
      <c r="F111" s="16">
        <v>3</v>
      </c>
      <c r="G111">
        <v>1.581</v>
      </c>
    </row>
    <row r="112" spans="1:13" x14ac:dyDescent="0.4">
      <c r="B112" s="16">
        <v>3</v>
      </c>
      <c r="C112">
        <v>1.504</v>
      </c>
      <c r="D112">
        <v>1.466</v>
      </c>
      <c r="F112" s="16">
        <v>3</v>
      </c>
      <c r="G112">
        <v>1.591</v>
      </c>
    </row>
    <row r="113" spans="2:7" x14ac:dyDescent="0.4">
      <c r="B113" s="16">
        <v>4</v>
      </c>
      <c r="C113">
        <v>1.504</v>
      </c>
      <c r="D113">
        <v>1.466</v>
      </c>
      <c r="F113" s="16">
        <v>4</v>
      </c>
      <c r="G113">
        <v>1.5940000000000001</v>
      </c>
    </row>
    <row r="114" spans="2:7" x14ac:dyDescent="0.4">
      <c r="B114" s="16">
        <v>4</v>
      </c>
      <c r="C114">
        <v>1.4970000000000001</v>
      </c>
      <c r="D114">
        <v>1.4590000000000001</v>
      </c>
      <c r="F114" s="16">
        <v>4</v>
      </c>
      <c r="G114">
        <v>1.591</v>
      </c>
    </row>
    <row r="115" spans="2:7" x14ac:dyDescent="0.4">
      <c r="B115" s="16">
        <v>5</v>
      </c>
      <c r="C115">
        <v>1.4970000000000001</v>
      </c>
      <c r="D115">
        <v>1.4610000000000001</v>
      </c>
      <c r="F115" s="16">
        <v>5</v>
      </c>
      <c r="G115">
        <v>1.591</v>
      </c>
    </row>
    <row r="116" spans="2:7" x14ac:dyDescent="0.4">
      <c r="B116" s="16">
        <v>5</v>
      </c>
      <c r="C116">
        <v>1.5069999999999999</v>
      </c>
      <c r="D116">
        <v>1.4610000000000001</v>
      </c>
      <c r="F116" s="16">
        <v>5</v>
      </c>
      <c r="G116">
        <v>1.591</v>
      </c>
    </row>
    <row r="117" spans="2:7" x14ac:dyDescent="0.4">
      <c r="B117" s="16">
        <v>6</v>
      </c>
      <c r="C117">
        <v>1.4970000000000001</v>
      </c>
      <c r="D117">
        <v>1.4610000000000001</v>
      </c>
      <c r="F117" s="16">
        <v>6</v>
      </c>
      <c r="G117">
        <v>1.591</v>
      </c>
    </row>
    <row r="118" spans="2:7" x14ac:dyDescent="0.4">
      <c r="B118" s="16">
        <v>6</v>
      </c>
      <c r="C118">
        <v>1.494</v>
      </c>
      <c r="D118">
        <v>1.466</v>
      </c>
      <c r="F118" s="16">
        <v>6</v>
      </c>
      <c r="G118">
        <v>1.5940000000000001</v>
      </c>
    </row>
    <row r="119" spans="2:7" x14ac:dyDescent="0.4">
      <c r="B119" s="16">
        <v>7</v>
      </c>
      <c r="C119">
        <v>1.5249999999999999</v>
      </c>
      <c r="D119">
        <v>1.466</v>
      </c>
      <c r="F119" s="16">
        <v>7</v>
      </c>
      <c r="G119">
        <v>1.591</v>
      </c>
    </row>
    <row r="120" spans="2:7" x14ac:dyDescent="0.4">
      <c r="B120" s="16">
        <v>7</v>
      </c>
      <c r="C120">
        <v>1.5249999999999999</v>
      </c>
      <c r="D120">
        <v>1.466</v>
      </c>
      <c r="F120" s="16">
        <v>7</v>
      </c>
      <c r="G120">
        <v>1.581</v>
      </c>
    </row>
    <row r="121" spans="2:7" x14ac:dyDescent="0.4">
      <c r="B121" s="16">
        <v>8</v>
      </c>
      <c r="C121">
        <v>1.504</v>
      </c>
      <c r="D121">
        <v>1.466</v>
      </c>
      <c r="F121" s="16">
        <v>8</v>
      </c>
      <c r="G121">
        <v>1.5940000000000001</v>
      </c>
    </row>
    <row r="122" spans="2:7" x14ac:dyDescent="0.4">
      <c r="B122" s="16">
        <v>8</v>
      </c>
      <c r="C122">
        <v>1.494</v>
      </c>
      <c r="D122">
        <v>1.4610000000000001</v>
      </c>
      <c r="F122" s="16">
        <v>8</v>
      </c>
      <c r="G122">
        <v>1.581</v>
      </c>
    </row>
    <row r="123" spans="2:7" x14ac:dyDescent="0.4">
      <c r="B123" s="16">
        <v>9</v>
      </c>
      <c r="C123">
        <v>1.4970000000000001</v>
      </c>
      <c r="D123">
        <v>1.4610000000000001</v>
      </c>
      <c r="F123" s="16">
        <v>9</v>
      </c>
      <c r="G123">
        <v>1.5940000000000001</v>
      </c>
    </row>
    <row r="124" spans="2:7" x14ac:dyDescent="0.4">
      <c r="B124" s="16">
        <v>9</v>
      </c>
      <c r="C124">
        <v>1.504</v>
      </c>
      <c r="D124">
        <v>1.466</v>
      </c>
      <c r="F124" s="16">
        <v>9</v>
      </c>
      <c r="G124">
        <v>1.583</v>
      </c>
    </row>
    <row r="125" spans="2:7" x14ac:dyDescent="0.4">
      <c r="B125" s="16">
        <v>10</v>
      </c>
      <c r="C125">
        <v>1.4970000000000001</v>
      </c>
      <c r="D125">
        <v>1.4610000000000001</v>
      </c>
      <c r="F125" s="16">
        <v>10</v>
      </c>
      <c r="G125">
        <v>1.591</v>
      </c>
    </row>
    <row r="126" spans="2:7" x14ac:dyDescent="0.4">
      <c r="B126" s="16">
        <v>10</v>
      </c>
      <c r="C126">
        <v>1.4970000000000001</v>
      </c>
      <c r="D126">
        <v>1.466</v>
      </c>
      <c r="F126" s="16">
        <v>10</v>
      </c>
      <c r="G126">
        <v>1.591</v>
      </c>
    </row>
    <row r="127" spans="2:7" x14ac:dyDescent="0.4">
      <c r="B127" s="16">
        <v>11</v>
      </c>
      <c r="C127">
        <v>1.5069999999999999</v>
      </c>
      <c r="D127">
        <v>1.466</v>
      </c>
      <c r="F127" s="16">
        <v>11</v>
      </c>
      <c r="G127">
        <v>1.601</v>
      </c>
    </row>
    <row r="128" spans="2:7" x14ac:dyDescent="0.4">
      <c r="B128" s="16">
        <v>11</v>
      </c>
      <c r="C128">
        <v>1.5069999999999999</v>
      </c>
      <c r="D128">
        <v>1.466</v>
      </c>
      <c r="F128" s="16">
        <v>11</v>
      </c>
      <c r="G128">
        <v>1.5780000000000001</v>
      </c>
    </row>
    <row r="129" spans="2:7" x14ac:dyDescent="0.4">
      <c r="B129" s="16">
        <v>12</v>
      </c>
      <c r="C129">
        <v>1.4970000000000001</v>
      </c>
      <c r="D129">
        <v>1.476</v>
      </c>
      <c r="F129" s="16">
        <v>12</v>
      </c>
      <c r="G129">
        <v>1.581</v>
      </c>
    </row>
    <row r="130" spans="2:7" x14ac:dyDescent="0.4">
      <c r="B130" s="16">
        <v>12</v>
      </c>
      <c r="C130">
        <v>1.4970000000000001</v>
      </c>
      <c r="D130">
        <v>1.464</v>
      </c>
      <c r="F130" s="16">
        <v>12</v>
      </c>
      <c r="G130">
        <v>1.581</v>
      </c>
    </row>
    <row r="131" spans="2:7" x14ac:dyDescent="0.4">
      <c r="B131" s="16">
        <v>13</v>
      </c>
      <c r="C131">
        <v>1.494</v>
      </c>
      <c r="D131">
        <v>1.466</v>
      </c>
      <c r="F131" s="16">
        <v>13</v>
      </c>
      <c r="G131">
        <v>1.5940000000000001</v>
      </c>
    </row>
    <row r="132" spans="2:7" x14ac:dyDescent="0.4">
      <c r="B132" s="16">
        <v>13</v>
      </c>
      <c r="C132">
        <v>1.4870000000000001</v>
      </c>
      <c r="D132">
        <v>1.466</v>
      </c>
      <c r="F132" s="16">
        <v>13</v>
      </c>
      <c r="G132">
        <v>1.591</v>
      </c>
    </row>
    <row r="133" spans="2:7" x14ac:dyDescent="0.4">
      <c r="B133" s="16">
        <v>14</v>
      </c>
      <c r="C133">
        <v>1.5069999999999999</v>
      </c>
      <c r="D133">
        <v>1.464</v>
      </c>
      <c r="F133" s="16">
        <v>14</v>
      </c>
      <c r="G133">
        <v>1.591</v>
      </c>
    </row>
    <row r="134" spans="2:7" x14ac:dyDescent="0.4">
      <c r="B134" s="16">
        <v>14</v>
      </c>
      <c r="C134">
        <v>1.4970000000000001</v>
      </c>
      <c r="D134">
        <v>1.466</v>
      </c>
      <c r="F134" s="16">
        <v>14</v>
      </c>
      <c r="G134">
        <v>1.591</v>
      </c>
    </row>
    <row r="135" spans="2:7" x14ac:dyDescent="0.4">
      <c r="B135" s="16">
        <v>15</v>
      </c>
      <c r="C135">
        <v>1.5069999999999999</v>
      </c>
      <c r="D135">
        <v>1.464</v>
      </c>
      <c r="F135" s="16">
        <v>15</v>
      </c>
      <c r="G135">
        <v>1.591</v>
      </c>
    </row>
    <row r="136" spans="2:7" x14ac:dyDescent="0.4">
      <c r="B136" s="16">
        <v>15</v>
      </c>
      <c r="C136">
        <v>1.494</v>
      </c>
      <c r="D136">
        <v>1.466</v>
      </c>
      <c r="F136" s="16">
        <v>15</v>
      </c>
      <c r="G136">
        <v>1.591</v>
      </c>
    </row>
    <row r="137" spans="2:7" x14ac:dyDescent="0.4">
      <c r="B137" s="16">
        <v>16</v>
      </c>
      <c r="C137">
        <v>1.494</v>
      </c>
      <c r="D137">
        <v>1.466</v>
      </c>
      <c r="F137" s="16">
        <v>16</v>
      </c>
      <c r="G137">
        <v>1.591</v>
      </c>
    </row>
    <row r="138" spans="2:7" x14ac:dyDescent="0.4">
      <c r="B138" s="16">
        <v>16</v>
      </c>
      <c r="C138">
        <v>1.4870000000000001</v>
      </c>
      <c r="D138">
        <v>1.4610000000000001</v>
      </c>
      <c r="F138" s="16">
        <v>16</v>
      </c>
      <c r="G138">
        <v>1.591</v>
      </c>
    </row>
    <row r="139" spans="2:7" x14ac:dyDescent="0.4">
      <c r="B139" s="16">
        <v>17</v>
      </c>
      <c r="C139">
        <v>1.494</v>
      </c>
      <c r="D139">
        <v>1.466</v>
      </c>
      <c r="F139" s="16">
        <v>17</v>
      </c>
      <c r="G139">
        <v>1.591</v>
      </c>
    </row>
    <row r="140" spans="2:7" x14ac:dyDescent="0.4">
      <c r="B140" s="16">
        <v>17</v>
      </c>
      <c r="C140">
        <v>1.494</v>
      </c>
      <c r="D140">
        <v>1.466</v>
      </c>
      <c r="F140" s="16">
        <v>17</v>
      </c>
      <c r="G140">
        <v>1.5760000000000001</v>
      </c>
    </row>
    <row r="141" spans="2:7" x14ac:dyDescent="0.4">
      <c r="B141" s="16">
        <v>18</v>
      </c>
      <c r="C141">
        <v>1.494</v>
      </c>
      <c r="D141">
        <v>1.464</v>
      </c>
      <c r="F141" s="16">
        <v>18</v>
      </c>
      <c r="G141">
        <v>1.581</v>
      </c>
    </row>
    <row r="142" spans="2:7" x14ac:dyDescent="0.4">
      <c r="B142" s="16">
        <v>18</v>
      </c>
      <c r="C142">
        <v>1.4970000000000001</v>
      </c>
      <c r="D142">
        <v>1.464</v>
      </c>
      <c r="F142" s="16">
        <v>18</v>
      </c>
      <c r="G142">
        <v>1.601</v>
      </c>
    </row>
    <row r="143" spans="2:7" x14ac:dyDescent="0.4">
      <c r="B143" s="16">
        <v>19</v>
      </c>
      <c r="C143">
        <v>1.4970000000000001</v>
      </c>
      <c r="D143">
        <v>1.466</v>
      </c>
      <c r="F143" s="16">
        <v>19</v>
      </c>
      <c r="G143">
        <v>1.591</v>
      </c>
    </row>
    <row r="144" spans="2:7" x14ac:dyDescent="0.4">
      <c r="B144" s="16">
        <v>19</v>
      </c>
      <c r="C144">
        <v>1.944</v>
      </c>
      <c r="D144">
        <v>1.466</v>
      </c>
      <c r="F144" s="16">
        <v>19</v>
      </c>
      <c r="G144">
        <v>1.591</v>
      </c>
    </row>
    <row r="145" spans="2:7" x14ac:dyDescent="0.4">
      <c r="B145" s="16">
        <v>20</v>
      </c>
      <c r="C145">
        <v>1.5069999999999999</v>
      </c>
      <c r="D145">
        <v>1.4610000000000001</v>
      </c>
      <c r="F145" s="16">
        <v>20</v>
      </c>
      <c r="G145">
        <v>1.591</v>
      </c>
    </row>
    <row r="146" spans="2:7" x14ac:dyDescent="0.4">
      <c r="B146" s="16">
        <v>20</v>
      </c>
      <c r="C146">
        <v>1.5069999999999999</v>
      </c>
      <c r="D146">
        <v>1.466</v>
      </c>
      <c r="F146" s="16">
        <v>20</v>
      </c>
      <c r="G146">
        <v>1.5980000000000001</v>
      </c>
    </row>
    <row r="147" spans="2:7" x14ac:dyDescent="0.4">
      <c r="B147" s="16">
        <v>21</v>
      </c>
      <c r="C147">
        <v>1.4970000000000001</v>
      </c>
      <c r="D147">
        <v>1.466</v>
      </c>
      <c r="F147" s="16">
        <v>21</v>
      </c>
      <c r="G147">
        <v>1.5940000000000001</v>
      </c>
    </row>
    <row r="148" spans="2:7" x14ac:dyDescent="0.4">
      <c r="B148" s="16">
        <v>21</v>
      </c>
      <c r="C148">
        <v>1.5069999999999999</v>
      </c>
      <c r="D148">
        <v>1.466</v>
      </c>
      <c r="F148" s="16">
        <v>21</v>
      </c>
      <c r="G148">
        <v>1.591</v>
      </c>
    </row>
    <row r="149" spans="2:7" x14ac:dyDescent="0.4">
      <c r="B149" s="16">
        <v>22</v>
      </c>
      <c r="C149">
        <v>1.5069999999999999</v>
      </c>
      <c r="D149">
        <v>1.464</v>
      </c>
      <c r="F149" s="16">
        <v>22</v>
      </c>
      <c r="G149">
        <v>1.6040000000000001</v>
      </c>
    </row>
    <row r="150" spans="2:7" x14ac:dyDescent="0.4">
      <c r="B150" s="16">
        <v>22</v>
      </c>
      <c r="C150">
        <v>1.4970000000000001</v>
      </c>
      <c r="D150">
        <v>1.464</v>
      </c>
      <c r="F150" s="16">
        <v>22</v>
      </c>
      <c r="G150">
        <v>1.6040000000000001</v>
      </c>
    </row>
    <row r="151" spans="2:7" x14ac:dyDescent="0.4">
      <c r="B151" s="16">
        <v>23</v>
      </c>
      <c r="C151">
        <v>1.504</v>
      </c>
      <c r="D151">
        <v>1.4610000000000001</v>
      </c>
      <c r="F151" s="16">
        <v>23</v>
      </c>
      <c r="G151">
        <v>1.591</v>
      </c>
    </row>
    <row r="152" spans="2:7" x14ac:dyDescent="0.4">
      <c r="B152" s="16">
        <v>23</v>
      </c>
      <c r="C152">
        <v>1.4970000000000001</v>
      </c>
      <c r="D152">
        <v>1.466</v>
      </c>
      <c r="F152" s="16">
        <v>23</v>
      </c>
      <c r="G152">
        <v>1.591</v>
      </c>
    </row>
    <row r="153" spans="2:7" x14ac:dyDescent="0.4">
      <c r="B153" s="16">
        <v>24</v>
      </c>
      <c r="C153">
        <v>1.4970000000000001</v>
      </c>
      <c r="D153">
        <v>1.4590000000000001</v>
      </c>
      <c r="F153" s="16">
        <v>24</v>
      </c>
      <c r="G153">
        <v>1.591</v>
      </c>
    </row>
    <row r="154" spans="2:7" x14ac:dyDescent="0.4">
      <c r="B154" s="16">
        <v>24</v>
      </c>
      <c r="C154">
        <v>1.484</v>
      </c>
      <c r="D154">
        <v>1.466</v>
      </c>
      <c r="F154" s="16">
        <v>24</v>
      </c>
      <c r="G154">
        <v>1.5940000000000001</v>
      </c>
    </row>
    <row r="155" spans="2:7" x14ac:dyDescent="0.4">
      <c r="B155" s="16">
        <v>25</v>
      </c>
      <c r="C155">
        <v>1.484</v>
      </c>
      <c r="D155">
        <v>1.466</v>
      </c>
      <c r="F155" s="16">
        <v>25</v>
      </c>
      <c r="G155">
        <v>1.5940000000000001</v>
      </c>
    </row>
    <row r="156" spans="2:7" x14ac:dyDescent="0.4">
      <c r="B156" s="16">
        <v>25</v>
      </c>
      <c r="C156">
        <v>1.4870000000000001</v>
      </c>
      <c r="D156">
        <v>1.4610000000000001</v>
      </c>
      <c r="F156" s="16">
        <v>25</v>
      </c>
      <c r="G156">
        <v>1.581</v>
      </c>
    </row>
    <row r="157" spans="2:7" x14ac:dyDescent="0.4">
      <c r="B157" s="16">
        <v>26</v>
      </c>
      <c r="C157">
        <v>1.484</v>
      </c>
      <c r="D157">
        <v>1.466</v>
      </c>
      <c r="F157" s="16">
        <v>26</v>
      </c>
      <c r="G157">
        <v>1.591</v>
      </c>
    </row>
    <row r="158" spans="2:7" x14ac:dyDescent="0.4">
      <c r="B158" s="16">
        <v>26</v>
      </c>
      <c r="C158">
        <v>1.484</v>
      </c>
      <c r="D158">
        <v>1.4610000000000001</v>
      </c>
      <c r="F158" s="16">
        <v>26</v>
      </c>
      <c r="G158">
        <v>1.591</v>
      </c>
    </row>
    <row r="159" spans="2:7" x14ac:dyDescent="0.4">
      <c r="B159" s="16">
        <v>27</v>
      </c>
      <c r="C159">
        <v>1.4870000000000001</v>
      </c>
      <c r="D159">
        <v>1.4610000000000001</v>
      </c>
      <c r="F159" s="16">
        <v>27</v>
      </c>
      <c r="G159">
        <v>1.581</v>
      </c>
    </row>
    <row r="160" spans="2:7" x14ac:dyDescent="0.4">
      <c r="B160" s="16">
        <v>27</v>
      </c>
      <c r="C160">
        <v>1.494</v>
      </c>
      <c r="D160">
        <v>1.476</v>
      </c>
      <c r="F160" s="16">
        <v>27</v>
      </c>
      <c r="G160">
        <v>1.581</v>
      </c>
    </row>
    <row r="161" spans="2:7" x14ac:dyDescent="0.4">
      <c r="B161" s="16">
        <v>28</v>
      </c>
      <c r="C161">
        <v>1.5069999999999999</v>
      </c>
      <c r="D161">
        <v>1.466</v>
      </c>
      <c r="F161" s="16">
        <v>28</v>
      </c>
      <c r="G161">
        <v>1.591</v>
      </c>
    </row>
    <row r="162" spans="2:7" x14ac:dyDescent="0.4">
      <c r="B162" s="16">
        <v>28</v>
      </c>
      <c r="C162">
        <v>1.4970000000000001</v>
      </c>
      <c r="D162">
        <v>1.464</v>
      </c>
      <c r="F162" s="16">
        <v>28</v>
      </c>
      <c r="G162">
        <v>1.591</v>
      </c>
    </row>
    <row r="163" spans="2:7" x14ac:dyDescent="0.4">
      <c r="B163" s="16">
        <v>29</v>
      </c>
      <c r="C163">
        <v>1.4970000000000001</v>
      </c>
      <c r="D163">
        <v>1.464</v>
      </c>
      <c r="F163" s="16">
        <v>29</v>
      </c>
      <c r="G163">
        <v>1.601</v>
      </c>
    </row>
    <row r="164" spans="2:7" x14ac:dyDescent="0.4">
      <c r="B164" s="16">
        <v>29</v>
      </c>
      <c r="C164">
        <v>1.504</v>
      </c>
      <c r="D164">
        <v>1.464</v>
      </c>
      <c r="F164" s="16">
        <v>29</v>
      </c>
      <c r="G164">
        <v>1.591</v>
      </c>
    </row>
    <row r="165" spans="2:7" x14ac:dyDescent="0.4">
      <c r="B165" s="16">
        <v>30</v>
      </c>
      <c r="C165">
        <v>1.494</v>
      </c>
      <c r="D165">
        <v>1.464</v>
      </c>
      <c r="F165" s="16">
        <v>30</v>
      </c>
      <c r="G165">
        <v>1.591</v>
      </c>
    </row>
    <row r="166" spans="2:7" x14ac:dyDescent="0.4">
      <c r="B166" s="16">
        <v>30</v>
      </c>
      <c r="C166">
        <v>1.494</v>
      </c>
      <c r="D166">
        <v>1.466</v>
      </c>
      <c r="F166" s="16">
        <v>30</v>
      </c>
      <c r="G166">
        <v>1.581</v>
      </c>
    </row>
    <row r="167" spans="2:7" x14ac:dyDescent="0.4">
      <c r="C167">
        <f>AVERAGE(C105:C166)</f>
        <v>1.505790322580645</v>
      </c>
      <c r="D167" s="16">
        <f>AVERAGE(D105:D166)</f>
        <v>1.4647580645161282</v>
      </c>
      <c r="G167">
        <f>AVERAGE(G105:G166)</f>
        <v>1.5900483870967734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67"/>
  <sheetViews>
    <sheetView zoomScaleNormal="100" workbookViewId="0">
      <selection activeCell="P1" sqref="P1"/>
    </sheetView>
  </sheetViews>
  <sheetFormatPr defaultRowHeight="18.75" x14ac:dyDescent="0.4"/>
  <sheetData>
    <row r="1" spans="1:19" x14ac:dyDescent="0.4">
      <c r="A1" s="16" t="s">
        <v>453</v>
      </c>
      <c r="B1" s="16"/>
      <c r="C1" s="16"/>
      <c r="D1" s="16"/>
      <c r="P1" s="16" t="s">
        <v>459</v>
      </c>
      <c r="Q1" s="16"/>
      <c r="R1" s="16"/>
      <c r="S1" s="16"/>
    </row>
    <row r="2" spans="1:19" x14ac:dyDescent="0.4">
      <c r="A2" s="16" t="s">
        <v>397</v>
      </c>
      <c r="B2" s="16"/>
      <c r="C2" s="16" t="s">
        <v>452</v>
      </c>
      <c r="D2" s="16"/>
      <c r="E2" s="16" t="s">
        <v>44</v>
      </c>
      <c r="F2" s="16" t="s">
        <v>375</v>
      </c>
      <c r="G2" s="16" t="s">
        <v>190</v>
      </c>
      <c r="H2" s="16" t="s">
        <v>376</v>
      </c>
      <c r="I2" s="16" t="s">
        <v>377</v>
      </c>
      <c r="J2" s="16" t="s">
        <v>378</v>
      </c>
      <c r="K2" s="16" t="s">
        <v>379</v>
      </c>
      <c r="L2" s="16" t="s">
        <v>380</v>
      </c>
      <c r="M2" s="16" t="s">
        <v>381</v>
      </c>
      <c r="P2" s="16" t="s">
        <v>407</v>
      </c>
      <c r="Q2" s="16"/>
      <c r="R2" s="16">
        <v>5050</v>
      </c>
      <c r="S2" s="16" t="s">
        <v>408</v>
      </c>
    </row>
    <row r="3" spans="1:19" x14ac:dyDescent="0.4">
      <c r="A3" s="16" t="s">
        <v>384</v>
      </c>
      <c r="B3" s="28"/>
      <c r="C3" s="28"/>
      <c r="D3" s="16"/>
      <c r="E3">
        <v>11126</v>
      </c>
      <c r="F3">
        <v>7776</v>
      </c>
      <c r="G3">
        <v>4260</v>
      </c>
      <c r="H3">
        <v>11126</v>
      </c>
      <c r="I3">
        <v>12.5</v>
      </c>
      <c r="J3">
        <v>16</v>
      </c>
      <c r="K3">
        <v>17</v>
      </c>
      <c r="L3">
        <v>2</v>
      </c>
      <c r="M3">
        <v>1</v>
      </c>
      <c r="P3" s="16" t="s">
        <v>414</v>
      </c>
      <c r="Q3" s="16" t="s">
        <v>421</v>
      </c>
      <c r="R3" s="16">
        <v>74</v>
      </c>
      <c r="S3" s="16" t="s">
        <v>406</v>
      </c>
    </row>
    <row r="4" spans="1:19" x14ac:dyDescent="0.4">
      <c r="A4" s="16"/>
      <c r="B4" s="16" t="s">
        <v>388</v>
      </c>
      <c r="C4" s="16"/>
      <c r="D4" s="16"/>
      <c r="E4">
        <v>2757</v>
      </c>
      <c r="F4">
        <v>1914</v>
      </c>
      <c r="G4">
        <v>1022</v>
      </c>
      <c r="H4">
        <v>2757</v>
      </c>
      <c r="I4">
        <v>3</v>
      </c>
      <c r="J4">
        <v>4</v>
      </c>
      <c r="K4">
        <v>0</v>
      </c>
      <c r="L4">
        <v>0</v>
      </c>
      <c r="M4">
        <v>0</v>
      </c>
      <c r="P4" s="16"/>
      <c r="Q4" s="16" t="s">
        <v>415</v>
      </c>
      <c r="R4" s="16">
        <f>R2/R3</f>
        <v>68.243243243243242</v>
      </c>
      <c r="S4" s="16" t="s">
        <v>408</v>
      </c>
    </row>
    <row r="5" spans="1:19" x14ac:dyDescent="0.4">
      <c r="A5" s="16"/>
      <c r="B5" s="16"/>
      <c r="C5" s="16" t="s">
        <v>357</v>
      </c>
      <c r="D5" s="16"/>
      <c r="E5">
        <v>44</v>
      </c>
      <c r="F5">
        <v>108</v>
      </c>
      <c r="G5">
        <v>33</v>
      </c>
      <c r="H5">
        <v>44</v>
      </c>
      <c r="I5">
        <v>0</v>
      </c>
      <c r="J5">
        <v>0</v>
      </c>
      <c r="K5">
        <v>0</v>
      </c>
      <c r="L5">
        <v>0</v>
      </c>
      <c r="M5">
        <v>0</v>
      </c>
      <c r="P5" s="16"/>
      <c r="Q5" s="16" t="s">
        <v>420</v>
      </c>
      <c r="R5" s="29">
        <v>14.653</v>
      </c>
      <c r="S5" s="16" t="s">
        <v>409</v>
      </c>
    </row>
    <row r="6" spans="1:19" x14ac:dyDescent="0.4">
      <c r="A6" s="16"/>
      <c r="B6" s="16"/>
      <c r="C6" s="16" t="s">
        <v>358</v>
      </c>
      <c r="D6" s="16"/>
      <c r="E6">
        <v>745</v>
      </c>
      <c r="F6">
        <v>1342</v>
      </c>
      <c r="G6">
        <v>428</v>
      </c>
      <c r="H6">
        <v>745</v>
      </c>
      <c r="I6">
        <v>0</v>
      </c>
      <c r="J6">
        <v>0</v>
      </c>
      <c r="K6">
        <v>0</v>
      </c>
      <c r="L6">
        <v>0</v>
      </c>
      <c r="M6">
        <v>0</v>
      </c>
      <c r="P6" s="16" t="s">
        <v>416</v>
      </c>
      <c r="Q6" s="16" t="s">
        <v>421</v>
      </c>
      <c r="R6" s="16">
        <v>62</v>
      </c>
      <c r="S6" s="16" t="s">
        <v>406</v>
      </c>
    </row>
    <row r="7" spans="1:19" x14ac:dyDescent="0.4">
      <c r="A7" s="16"/>
      <c r="B7" s="16"/>
      <c r="C7" s="16" t="s">
        <v>359</v>
      </c>
      <c r="D7" s="16"/>
      <c r="E7">
        <v>162</v>
      </c>
      <c r="F7">
        <v>54</v>
      </c>
      <c r="G7">
        <v>60</v>
      </c>
      <c r="H7">
        <v>162</v>
      </c>
      <c r="I7">
        <v>1</v>
      </c>
      <c r="J7">
        <v>0</v>
      </c>
      <c r="K7">
        <v>0</v>
      </c>
      <c r="L7">
        <v>0</v>
      </c>
      <c r="M7">
        <v>0</v>
      </c>
      <c r="P7" s="16"/>
      <c r="Q7" s="16" t="s">
        <v>415</v>
      </c>
      <c r="R7" s="16">
        <f>R2/R6</f>
        <v>81.451612903225808</v>
      </c>
      <c r="S7" s="16" t="s">
        <v>408</v>
      </c>
    </row>
    <row r="8" spans="1:19" x14ac:dyDescent="0.4">
      <c r="A8" s="16"/>
      <c r="B8" s="16"/>
      <c r="C8" s="16" t="s">
        <v>360</v>
      </c>
      <c r="D8" s="16"/>
      <c r="E8">
        <v>1</v>
      </c>
      <c r="F8">
        <v>84</v>
      </c>
      <c r="G8">
        <v>21</v>
      </c>
      <c r="H8">
        <v>1</v>
      </c>
      <c r="I8">
        <v>0.5</v>
      </c>
      <c r="J8">
        <v>0</v>
      </c>
      <c r="K8">
        <v>0</v>
      </c>
      <c r="L8">
        <v>0</v>
      </c>
      <c r="M8">
        <v>0</v>
      </c>
      <c r="P8" s="16"/>
      <c r="Q8" s="16" t="s">
        <v>420</v>
      </c>
      <c r="R8" s="29">
        <v>12.27722</v>
      </c>
      <c r="S8" s="16" t="s">
        <v>409</v>
      </c>
    </row>
    <row r="9" spans="1:19" x14ac:dyDescent="0.4">
      <c r="A9" s="16"/>
      <c r="B9" s="16"/>
      <c r="C9" s="16" t="s">
        <v>361</v>
      </c>
      <c r="D9" s="16"/>
      <c r="E9">
        <v>1344</v>
      </c>
      <c r="F9">
        <v>94</v>
      </c>
      <c r="G9">
        <v>361</v>
      </c>
      <c r="H9">
        <v>1344</v>
      </c>
      <c r="I9">
        <v>0</v>
      </c>
      <c r="J9">
        <v>4</v>
      </c>
      <c r="K9">
        <v>0</v>
      </c>
      <c r="L9">
        <v>0</v>
      </c>
      <c r="M9">
        <v>0</v>
      </c>
      <c r="P9" s="16" t="s">
        <v>417</v>
      </c>
      <c r="Q9" s="16" t="s">
        <v>421</v>
      </c>
      <c r="R9" s="16">
        <v>74</v>
      </c>
      <c r="S9" s="16" t="s">
        <v>406</v>
      </c>
    </row>
    <row r="10" spans="1:19" x14ac:dyDescent="0.4">
      <c r="A10" s="16"/>
      <c r="B10" s="16"/>
      <c r="C10" s="16" t="s">
        <v>362</v>
      </c>
      <c r="D10" s="16"/>
      <c r="E10">
        <v>83</v>
      </c>
      <c r="F10">
        <v>57</v>
      </c>
      <c r="G10">
        <v>64</v>
      </c>
      <c r="H10">
        <v>83</v>
      </c>
      <c r="I10">
        <v>1</v>
      </c>
      <c r="J10">
        <v>0</v>
      </c>
      <c r="K10" s="16">
        <v>0</v>
      </c>
      <c r="L10" s="16">
        <v>0</v>
      </c>
      <c r="M10" s="16">
        <v>0</v>
      </c>
      <c r="P10" s="16"/>
      <c r="Q10" s="16" t="s">
        <v>415</v>
      </c>
      <c r="R10" s="16">
        <f>R2/R3</f>
        <v>68.243243243243242</v>
      </c>
      <c r="S10" s="16" t="s">
        <v>408</v>
      </c>
    </row>
    <row r="11" spans="1:19" x14ac:dyDescent="0.4">
      <c r="A11" s="16"/>
      <c r="B11" s="16"/>
      <c r="C11" s="16" t="s">
        <v>363</v>
      </c>
      <c r="D11" s="16"/>
      <c r="E11">
        <v>15</v>
      </c>
      <c r="F11">
        <v>56</v>
      </c>
      <c r="G11">
        <v>12</v>
      </c>
      <c r="H11">
        <v>15</v>
      </c>
      <c r="I11">
        <v>0</v>
      </c>
      <c r="J11" s="16">
        <v>0</v>
      </c>
      <c r="K11" s="16">
        <v>0</v>
      </c>
      <c r="L11" s="16">
        <v>0</v>
      </c>
      <c r="M11" s="16">
        <v>0</v>
      </c>
      <c r="P11" s="16"/>
      <c r="Q11" s="16" t="s">
        <v>420</v>
      </c>
      <c r="R11" s="16">
        <v>14.653</v>
      </c>
      <c r="S11" s="16" t="s">
        <v>409</v>
      </c>
    </row>
    <row r="12" spans="1:19" x14ac:dyDescent="0.4">
      <c r="A12" s="16"/>
      <c r="B12" s="16"/>
      <c r="C12" s="16" t="s">
        <v>364</v>
      </c>
      <c r="D12" s="16"/>
      <c r="E12">
        <v>0</v>
      </c>
      <c r="F12">
        <v>54</v>
      </c>
      <c r="G12">
        <v>12</v>
      </c>
      <c r="H12">
        <v>0</v>
      </c>
      <c r="I12">
        <v>0.5</v>
      </c>
      <c r="J12">
        <v>0</v>
      </c>
      <c r="K12">
        <v>0</v>
      </c>
      <c r="L12">
        <v>0</v>
      </c>
      <c r="M12">
        <v>0</v>
      </c>
    </row>
    <row r="13" spans="1:19" x14ac:dyDescent="0.4">
      <c r="A13" s="16"/>
      <c r="B13" s="16"/>
      <c r="C13" s="16" t="s">
        <v>365</v>
      </c>
      <c r="D13" s="16"/>
    </row>
    <row r="14" spans="1:19" x14ac:dyDescent="0.4">
      <c r="A14" s="16"/>
      <c r="B14" s="16"/>
      <c r="C14" s="16" t="s">
        <v>366</v>
      </c>
      <c r="D14" s="16"/>
      <c r="E14">
        <v>364</v>
      </c>
      <c r="F14">
        <v>11</v>
      </c>
      <c r="G14">
        <v>110</v>
      </c>
      <c r="H14">
        <v>364</v>
      </c>
      <c r="I14">
        <v>0</v>
      </c>
      <c r="J14" s="16">
        <v>0</v>
      </c>
      <c r="K14" s="16">
        <v>0</v>
      </c>
      <c r="L14" s="16">
        <v>0</v>
      </c>
      <c r="M14" s="16">
        <v>0</v>
      </c>
    </row>
    <row r="15" spans="1:19" x14ac:dyDescent="0.4">
      <c r="A15" s="16"/>
      <c r="B15" s="16"/>
      <c r="C15" s="16"/>
      <c r="D15" s="16" t="s">
        <v>368</v>
      </c>
      <c r="E15">
        <v>89</v>
      </c>
      <c r="F15">
        <v>0</v>
      </c>
      <c r="G15">
        <v>38</v>
      </c>
      <c r="H15">
        <v>89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9" x14ac:dyDescent="0.4">
      <c r="A16" s="16"/>
      <c r="B16" s="16"/>
      <c r="C16" s="16"/>
      <c r="D16" s="16" t="s">
        <v>369</v>
      </c>
      <c r="E16">
        <v>32</v>
      </c>
      <c r="F16">
        <v>0</v>
      </c>
      <c r="G16">
        <v>11</v>
      </c>
      <c r="H16">
        <v>32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4">
      <c r="A17" s="16"/>
      <c r="B17" s="16"/>
      <c r="C17" s="16"/>
      <c r="D17" s="16" t="s">
        <v>370</v>
      </c>
      <c r="E17">
        <v>29</v>
      </c>
      <c r="F17">
        <v>1</v>
      </c>
      <c r="G17">
        <v>10</v>
      </c>
      <c r="H17">
        <v>29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4">
      <c r="A18" s="16"/>
      <c r="B18" s="16"/>
      <c r="C18" s="16"/>
      <c r="D18" s="16" t="s">
        <v>371</v>
      </c>
      <c r="E18">
        <v>35</v>
      </c>
      <c r="F18">
        <v>0</v>
      </c>
      <c r="G18">
        <v>10</v>
      </c>
      <c r="H18">
        <v>35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4">
      <c r="A19" s="16"/>
      <c r="B19" s="16"/>
      <c r="C19" s="16"/>
      <c r="D19" s="16" t="s">
        <v>372</v>
      </c>
      <c r="E19">
        <v>31</v>
      </c>
      <c r="F19">
        <v>1</v>
      </c>
      <c r="G19">
        <v>12</v>
      </c>
      <c r="H19">
        <v>31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4">
      <c r="A20" s="16"/>
      <c r="B20" s="16"/>
      <c r="C20" s="16"/>
      <c r="D20" s="16" t="s">
        <v>373</v>
      </c>
      <c r="E20">
        <v>42</v>
      </c>
      <c r="F20">
        <v>0</v>
      </c>
      <c r="G20">
        <v>15</v>
      </c>
      <c r="H20">
        <v>42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</row>
    <row r="21" spans="1:13" x14ac:dyDescent="0.4">
      <c r="A21" s="16"/>
      <c r="B21" s="16"/>
      <c r="C21" s="16"/>
      <c r="D21" s="16" t="s">
        <v>374</v>
      </c>
      <c r="E21">
        <v>54</v>
      </c>
      <c r="F21">
        <v>8</v>
      </c>
      <c r="G21">
        <v>17</v>
      </c>
      <c r="H21">
        <v>54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</row>
    <row r="22" spans="1:13" x14ac:dyDescent="0.4">
      <c r="A22" s="16"/>
      <c r="B22" s="16"/>
      <c r="C22" s="16"/>
      <c r="D22" s="16" t="s">
        <v>367</v>
      </c>
      <c r="E22">
        <v>35</v>
      </c>
      <c r="F22">
        <v>1</v>
      </c>
      <c r="G22">
        <v>16</v>
      </c>
      <c r="H22">
        <v>35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</row>
    <row r="23" spans="1:13" x14ac:dyDescent="0.4">
      <c r="A23" s="16"/>
      <c r="B23" s="16"/>
      <c r="C23" s="16"/>
      <c r="D23" s="16"/>
    </row>
    <row r="24" spans="1:13" x14ac:dyDescent="0.4">
      <c r="A24" s="16"/>
      <c r="B24" s="16"/>
      <c r="C24" s="16"/>
      <c r="D24" s="16"/>
    </row>
    <row r="25" spans="1:13" x14ac:dyDescent="0.4">
      <c r="A25" s="16"/>
      <c r="B25" s="16"/>
      <c r="C25" s="16"/>
      <c r="D25" s="16"/>
    </row>
    <row r="26" spans="1:13" x14ac:dyDescent="0.4">
      <c r="A26" s="16"/>
      <c r="B26" s="16" t="s">
        <v>385</v>
      </c>
      <c r="C26" s="16"/>
      <c r="D26" s="16"/>
      <c r="E26">
        <v>2743</v>
      </c>
      <c r="F26">
        <v>1914</v>
      </c>
      <c r="G26">
        <v>1022</v>
      </c>
      <c r="H26">
        <v>2743</v>
      </c>
      <c r="I26">
        <v>3</v>
      </c>
      <c r="J26">
        <v>4</v>
      </c>
      <c r="K26">
        <v>0</v>
      </c>
      <c r="L26">
        <v>0</v>
      </c>
      <c r="M26">
        <v>0</v>
      </c>
    </row>
    <row r="27" spans="1:13" x14ac:dyDescent="0.4">
      <c r="A27" s="16"/>
      <c r="B27" s="16"/>
      <c r="C27" s="16" t="s">
        <v>357</v>
      </c>
      <c r="D27" s="16"/>
      <c r="E27">
        <v>44</v>
      </c>
      <c r="F27">
        <v>108</v>
      </c>
      <c r="G27">
        <v>30</v>
      </c>
      <c r="H27">
        <v>44</v>
      </c>
      <c r="I27">
        <v>0</v>
      </c>
      <c r="J27">
        <v>0</v>
      </c>
      <c r="K27" s="16">
        <v>0</v>
      </c>
      <c r="L27" s="16">
        <v>0</v>
      </c>
      <c r="M27" s="16">
        <v>0</v>
      </c>
    </row>
    <row r="28" spans="1:13" x14ac:dyDescent="0.4">
      <c r="A28" s="16"/>
      <c r="B28" s="16"/>
      <c r="C28" s="16" t="s">
        <v>358</v>
      </c>
      <c r="D28" s="16"/>
      <c r="E28">
        <v>745</v>
      </c>
      <c r="F28">
        <v>1342</v>
      </c>
      <c r="G28">
        <v>434</v>
      </c>
      <c r="H28">
        <v>745</v>
      </c>
      <c r="I28">
        <v>0</v>
      </c>
      <c r="J28">
        <v>0</v>
      </c>
      <c r="K28" s="16">
        <v>0</v>
      </c>
      <c r="L28" s="16">
        <v>0</v>
      </c>
      <c r="M28" s="16">
        <v>0</v>
      </c>
    </row>
    <row r="29" spans="1:13" x14ac:dyDescent="0.4">
      <c r="A29" s="16"/>
      <c r="B29" s="16"/>
      <c r="C29" s="16" t="s">
        <v>359</v>
      </c>
      <c r="D29" s="16"/>
      <c r="E29">
        <v>158</v>
      </c>
      <c r="F29">
        <v>54</v>
      </c>
      <c r="G29">
        <v>56</v>
      </c>
      <c r="H29">
        <v>158</v>
      </c>
      <c r="I29">
        <v>1</v>
      </c>
      <c r="J29">
        <v>0</v>
      </c>
      <c r="K29" s="16">
        <v>0</v>
      </c>
      <c r="L29" s="16">
        <v>0</v>
      </c>
      <c r="M29" s="16">
        <v>0</v>
      </c>
    </row>
    <row r="30" spans="1:13" x14ac:dyDescent="0.4">
      <c r="A30" s="16"/>
      <c r="B30" s="16"/>
      <c r="C30" s="16" t="s">
        <v>360</v>
      </c>
      <c r="D30" s="16"/>
      <c r="E30">
        <v>1</v>
      </c>
      <c r="F30">
        <v>84</v>
      </c>
      <c r="G30">
        <v>19</v>
      </c>
      <c r="H30">
        <v>1</v>
      </c>
      <c r="I30">
        <v>0.5</v>
      </c>
      <c r="J30">
        <v>0</v>
      </c>
      <c r="K30" s="16">
        <v>0</v>
      </c>
      <c r="L30" s="16">
        <v>0</v>
      </c>
      <c r="M30" s="16">
        <v>0</v>
      </c>
    </row>
    <row r="31" spans="1:13" x14ac:dyDescent="0.4">
      <c r="A31" s="16"/>
      <c r="B31" s="16"/>
      <c r="C31" s="16" t="s">
        <v>361</v>
      </c>
      <c r="D31" s="16"/>
      <c r="E31">
        <v>1351</v>
      </c>
      <c r="F31">
        <v>94</v>
      </c>
      <c r="G31">
        <v>373</v>
      </c>
      <c r="H31">
        <v>1351</v>
      </c>
      <c r="I31">
        <v>4</v>
      </c>
      <c r="J31">
        <v>0</v>
      </c>
      <c r="K31" s="16">
        <v>0</v>
      </c>
      <c r="L31" s="16">
        <v>0</v>
      </c>
      <c r="M31" s="16">
        <v>0</v>
      </c>
    </row>
    <row r="32" spans="1:13" x14ac:dyDescent="0.4">
      <c r="A32" s="16"/>
      <c r="B32" s="16"/>
      <c r="C32" s="16" t="s">
        <v>362</v>
      </c>
      <c r="D32" s="16"/>
      <c r="E32">
        <v>87</v>
      </c>
      <c r="F32">
        <v>57</v>
      </c>
      <c r="G32">
        <v>58</v>
      </c>
      <c r="H32">
        <v>87</v>
      </c>
      <c r="I32">
        <v>1</v>
      </c>
      <c r="J32">
        <v>0</v>
      </c>
      <c r="K32" s="16">
        <v>0</v>
      </c>
      <c r="L32" s="16">
        <v>0</v>
      </c>
      <c r="M32" s="16">
        <v>0</v>
      </c>
    </row>
    <row r="33" spans="1:13" x14ac:dyDescent="0.4">
      <c r="A33" s="16"/>
      <c r="B33" s="16"/>
      <c r="C33" s="16" t="s">
        <v>363</v>
      </c>
      <c r="D33" s="16"/>
      <c r="E33">
        <v>16</v>
      </c>
      <c r="F33">
        <v>56</v>
      </c>
      <c r="G33">
        <v>14</v>
      </c>
      <c r="H33">
        <v>16</v>
      </c>
      <c r="I33">
        <v>0</v>
      </c>
      <c r="J33">
        <v>0</v>
      </c>
      <c r="K33" s="16">
        <v>0</v>
      </c>
      <c r="L33" s="16">
        <v>0</v>
      </c>
      <c r="M33" s="16">
        <v>0</v>
      </c>
    </row>
    <row r="34" spans="1:13" x14ac:dyDescent="0.4">
      <c r="A34" s="16"/>
      <c r="B34" s="16"/>
      <c r="C34" s="16" t="s">
        <v>364</v>
      </c>
      <c r="D34" s="16"/>
      <c r="E34">
        <v>0</v>
      </c>
      <c r="F34">
        <v>54</v>
      </c>
      <c r="G34">
        <v>12</v>
      </c>
      <c r="H34">
        <v>0</v>
      </c>
      <c r="I34">
        <v>0.5</v>
      </c>
      <c r="J34">
        <v>0</v>
      </c>
      <c r="K34" s="16">
        <v>0</v>
      </c>
      <c r="L34" s="16">
        <v>0</v>
      </c>
      <c r="M34" s="16">
        <v>0</v>
      </c>
    </row>
    <row r="35" spans="1:13" x14ac:dyDescent="0.4">
      <c r="A35" s="16"/>
      <c r="B35" s="16"/>
      <c r="C35" s="16" t="s">
        <v>365</v>
      </c>
      <c r="D35" s="16"/>
      <c r="K35" s="16">
        <v>0</v>
      </c>
      <c r="L35" s="16">
        <v>0</v>
      </c>
      <c r="M35" s="16">
        <v>0</v>
      </c>
    </row>
    <row r="36" spans="1:13" x14ac:dyDescent="0.4">
      <c r="A36" s="16"/>
      <c r="B36" s="16"/>
      <c r="C36" s="16" t="s">
        <v>366</v>
      </c>
      <c r="D36" s="16"/>
      <c r="E36">
        <v>340</v>
      </c>
      <c r="F36">
        <v>11</v>
      </c>
      <c r="G36">
        <v>97</v>
      </c>
      <c r="H36">
        <v>340</v>
      </c>
      <c r="I36">
        <v>0</v>
      </c>
      <c r="J36">
        <v>0</v>
      </c>
      <c r="K36" s="16">
        <v>0</v>
      </c>
      <c r="L36" s="16">
        <v>0</v>
      </c>
      <c r="M36" s="16">
        <v>0</v>
      </c>
    </row>
    <row r="37" spans="1:13" x14ac:dyDescent="0.4">
      <c r="A37" s="16"/>
      <c r="B37" s="16"/>
      <c r="C37" s="16"/>
      <c r="D37" s="16" t="s">
        <v>368</v>
      </c>
      <c r="E37">
        <v>80</v>
      </c>
      <c r="F37">
        <v>0</v>
      </c>
      <c r="G37">
        <v>24</v>
      </c>
      <c r="H37">
        <v>80</v>
      </c>
      <c r="I37">
        <v>0</v>
      </c>
      <c r="J37">
        <v>0</v>
      </c>
      <c r="K37" s="16">
        <v>0</v>
      </c>
      <c r="L37" s="16">
        <v>0</v>
      </c>
      <c r="M37" s="16">
        <v>0</v>
      </c>
    </row>
    <row r="38" spans="1:13" x14ac:dyDescent="0.4">
      <c r="A38" s="16"/>
      <c r="B38" s="16"/>
      <c r="C38" s="16"/>
      <c r="D38" s="16" t="s">
        <v>369</v>
      </c>
      <c r="E38">
        <v>32</v>
      </c>
      <c r="F38">
        <v>0</v>
      </c>
      <c r="G38">
        <v>9</v>
      </c>
      <c r="H38">
        <v>32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</row>
    <row r="39" spans="1:13" x14ac:dyDescent="0.4">
      <c r="A39" s="16"/>
      <c r="B39" s="16"/>
      <c r="C39" s="16"/>
      <c r="D39" s="16" t="s">
        <v>370</v>
      </c>
      <c r="E39">
        <v>29</v>
      </c>
      <c r="F39">
        <v>1</v>
      </c>
      <c r="G39">
        <v>12</v>
      </c>
      <c r="H39">
        <v>29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</row>
    <row r="40" spans="1:13" x14ac:dyDescent="0.4">
      <c r="A40" s="16"/>
      <c r="B40" s="16"/>
      <c r="C40" s="16"/>
      <c r="D40" s="16" t="s">
        <v>371</v>
      </c>
      <c r="E40">
        <v>35</v>
      </c>
      <c r="F40">
        <v>0</v>
      </c>
      <c r="G40">
        <v>12</v>
      </c>
      <c r="H40">
        <v>35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</row>
    <row r="41" spans="1:13" x14ac:dyDescent="0.4">
      <c r="A41" s="16"/>
      <c r="B41" s="16"/>
      <c r="C41" s="16"/>
      <c r="D41" s="16" t="s">
        <v>372</v>
      </c>
      <c r="E41">
        <v>28</v>
      </c>
      <c r="F41">
        <v>1</v>
      </c>
      <c r="G41">
        <v>11</v>
      </c>
      <c r="H41">
        <v>28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</row>
    <row r="42" spans="1:13" x14ac:dyDescent="0.4">
      <c r="A42" s="16"/>
      <c r="B42" s="16"/>
      <c r="C42" s="16"/>
      <c r="D42" s="16" t="s">
        <v>373</v>
      </c>
      <c r="E42">
        <v>39</v>
      </c>
      <c r="F42">
        <v>0</v>
      </c>
      <c r="G42">
        <v>12</v>
      </c>
      <c r="H42">
        <v>39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</row>
    <row r="43" spans="1:13" x14ac:dyDescent="0.4">
      <c r="A43" s="16"/>
      <c r="B43" s="16"/>
      <c r="C43" s="16"/>
      <c r="D43" s="16" t="s">
        <v>374</v>
      </c>
      <c r="E43">
        <v>66</v>
      </c>
      <c r="F43">
        <v>8</v>
      </c>
      <c r="G43">
        <v>22</v>
      </c>
      <c r="H43">
        <v>66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</row>
    <row r="44" spans="1:13" x14ac:dyDescent="0.4">
      <c r="A44" s="16"/>
      <c r="B44" s="16"/>
      <c r="C44" s="16"/>
      <c r="D44" s="16" t="s">
        <v>367</v>
      </c>
      <c r="E44">
        <v>29</v>
      </c>
      <c r="F44">
        <v>1</v>
      </c>
      <c r="G44">
        <v>11</v>
      </c>
      <c r="H44">
        <v>29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</row>
    <row r="45" spans="1:13" x14ac:dyDescent="0.4">
      <c r="A45" s="16"/>
      <c r="B45" s="16"/>
      <c r="C45" s="16"/>
      <c r="D45" s="16"/>
    </row>
    <row r="46" spans="1:13" x14ac:dyDescent="0.4">
      <c r="A46" s="16"/>
      <c r="B46" s="16"/>
      <c r="C46" s="16"/>
      <c r="D46" s="16"/>
    </row>
    <row r="47" spans="1:13" x14ac:dyDescent="0.4">
      <c r="A47" s="16"/>
      <c r="B47" s="16"/>
      <c r="C47" s="16"/>
      <c r="D47" s="16"/>
    </row>
    <row r="48" spans="1:13" x14ac:dyDescent="0.4">
      <c r="A48" s="16"/>
      <c r="B48" s="16" t="s">
        <v>386</v>
      </c>
      <c r="C48" s="16"/>
      <c r="E48" s="16">
        <v>2741</v>
      </c>
      <c r="F48">
        <v>1914</v>
      </c>
      <c r="G48">
        <v>1043</v>
      </c>
      <c r="H48">
        <v>2741</v>
      </c>
      <c r="I48">
        <v>3</v>
      </c>
      <c r="J48">
        <v>4</v>
      </c>
      <c r="K48">
        <v>0</v>
      </c>
      <c r="L48">
        <v>0</v>
      </c>
      <c r="M48">
        <v>0</v>
      </c>
    </row>
    <row r="49" spans="1:13" x14ac:dyDescent="0.4">
      <c r="A49" s="16"/>
      <c r="B49" s="16"/>
      <c r="C49" s="16" t="s">
        <v>357</v>
      </c>
      <c r="D49" s="16"/>
      <c r="E49">
        <v>44</v>
      </c>
      <c r="F49">
        <v>108</v>
      </c>
      <c r="G49">
        <v>36</v>
      </c>
      <c r="H49">
        <v>44</v>
      </c>
      <c r="I49">
        <v>0</v>
      </c>
      <c r="J49">
        <v>0</v>
      </c>
      <c r="K49" s="16">
        <v>0</v>
      </c>
      <c r="L49" s="16">
        <v>0</v>
      </c>
      <c r="M49" s="16">
        <v>0</v>
      </c>
    </row>
    <row r="50" spans="1:13" x14ac:dyDescent="0.4">
      <c r="A50" s="16"/>
      <c r="B50" s="16"/>
      <c r="C50" s="16" t="s">
        <v>358</v>
      </c>
      <c r="D50" s="16"/>
      <c r="E50">
        <v>745</v>
      </c>
      <c r="F50">
        <v>1342</v>
      </c>
      <c r="G50">
        <v>430</v>
      </c>
      <c r="H50">
        <v>745</v>
      </c>
      <c r="I50">
        <v>0</v>
      </c>
      <c r="J50">
        <v>0</v>
      </c>
      <c r="K50" s="16">
        <v>0</v>
      </c>
      <c r="L50" s="16">
        <v>0</v>
      </c>
      <c r="M50" s="16">
        <v>0</v>
      </c>
    </row>
    <row r="51" spans="1:13" x14ac:dyDescent="0.4">
      <c r="A51" s="16"/>
      <c r="B51" s="16"/>
      <c r="C51" s="16" t="s">
        <v>359</v>
      </c>
      <c r="D51" s="16"/>
      <c r="E51">
        <v>153</v>
      </c>
      <c r="F51">
        <v>54</v>
      </c>
      <c r="G51">
        <v>55</v>
      </c>
      <c r="H51">
        <v>153</v>
      </c>
      <c r="I51">
        <v>0</v>
      </c>
      <c r="J51">
        <v>0</v>
      </c>
      <c r="K51" s="16">
        <v>0</v>
      </c>
      <c r="L51" s="16">
        <v>0</v>
      </c>
      <c r="M51" s="16">
        <v>0</v>
      </c>
    </row>
    <row r="52" spans="1:13" x14ac:dyDescent="0.4">
      <c r="A52" s="16"/>
      <c r="B52" s="16"/>
      <c r="C52" s="16" t="s">
        <v>360</v>
      </c>
      <c r="D52" s="16"/>
      <c r="E52">
        <v>1</v>
      </c>
      <c r="F52">
        <v>84</v>
      </c>
      <c r="G52">
        <v>26</v>
      </c>
      <c r="H52">
        <v>1</v>
      </c>
      <c r="I52">
        <v>0.5</v>
      </c>
      <c r="J52">
        <v>0</v>
      </c>
      <c r="K52" s="16">
        <v>0</v>
      </c>
      <c r="L52" s="16">
        <v>0</v>
      </c>
      <c r="M52" s="16">
        <v>0</v>
      </c>
    </row>
    <row r="53" spans="1:13" x14ac:dyDescent="0.4">
      <c r="A53" s="16"/>
      <c r="B53" s="16"/>
      <c r="C53" s="16" t="s">
        <v>361</v>
      </c>
      <c r="D53" s="16"/>
      <c r="E53">
        <v>1348</v>
      </c>
      <c r="F53">
        <v>94</v>
      </c>
      <c r="G53">
        <v>376</v>
      </c>
      <c r="H53">
        <v>1348</v>
      </c>
      <c r="I53">
        <v>0</v>
      </c>
      <c r="J53">
        <v>4</v>
      </c>
      <c r="K53" s="16">
        <v>0</v>
      </c>
      <c r="L53" s="16">
        <v>0</v>
      </c>
      <c r="M53" s="16">
        <v>0</v>
      </c>
    </row>
    <row r="54" spans="1:13" x14ac:dyDescent="0.4">
      <c r="A54" s="16"/>
      <c r="B54" s="16"/>
      <c r="C54" s="16" t="s">
        <v>362</v>
      </c>
      <c r="D54" s="16"/>
      <c r="E54">
        <v>83</v>
      </c>
      <c r="F54">
        <v>57</v>
      </c>
      <c r="G54">
        <v>59</v>
      </c>
      <c r="H54">
        <v>83</v>
      </c>
      <c r="I54">
        <v>1</v>
      </c>
      <c r="J54">
        <v>0</v>
      </c>
      <c r="K54" s="16">
        <v>0</v>
      </c>
      <c r="L54" s="16">
        <v>0</v>
      </c>
      <c r="M54" s="16">
        <v>0</v>
      </c>
    </row>
    <row r="55" spans="1:13" x14ac:dyDescent="0.4">
      <c r="A55" s="16"/>
      <c r="B55" s="16"/>
      <c r="C55" s="16" t="s">
        <v>363</v>
      </c>
      <c r="D55" s="16"/>
      <c r="E55">
        <v>15</v>
      </c>
      <c r="F55">
        <v>56</v>
      </c>
      <c r="G55">
        <v>15</v>
      </c>
      <c r="H55">
        <v>15</v>
      </c>
      <c r="I55">
        <v>0</v>
      </c>
      <c r="J55">
        <v>0</v>
      </c>
      <c r="K55" s="16">
        <v>0</v>
      </c>
      <c r="L55" s="16">
        <v>0</v>
      </c>
      <c r="M55" s="16">
        <v>0</v>
      </c>
    </row>
    <row r="56" spans="1:13" x14ac:dyDescent="0.4">
      <c r="A56" s="16"/>
      <c r="B56" s="16"/>
      <c r="C56" s="16" t="s">
        <v>364</v>
      </c>
      <c r="D56" s="16"/>
      <c r="E56">
        <v>0</v>
      </c>
      <c r="F56">
        <v>54</v>
      </c>
      <c r="G56">
        <v>10</v>
      </c>
      <c r="H56">
        <v>0</v>
      </c>
      <c r="I56">
        <v>0.5</v>
      </c>
      <c r="J56">
        <v>0</v>
      </c>
      <c r="K56" s="16">
        <v>0</v>
      </c>
      <c r="L56" s="16">
        <v>0</v>
      </c>
      <c r="M56" s="16">
        <v>0</v>
      </c>
    </row>
    <row r="57" spans="1:13" x14ac:dyDescent="0.4">
      <c r="A57" s="16"/>
      <c r="B57" s="16"/>
      <c r="C57" s="16" t="s">
        <v>365</v>
      </c>
      <c r="D57" s="16"/>
      <c r="K57" s="16">
        <v>0</v>
      </c>
      <c r="L57" s="16">
        <v>0</v>
      </c>
      <c r="M57" s="16">
        <v>0</v>
      </c>
    </row>
    <row r="58" spans="1:13" x14ac:dyDescent="0.4">
      <c r="A58" s="16"/>
      <c r="B58" s="16"/>
      <c r="C58" s="16" t="s">
        <v>366</v>
      </c>
      <c r="D58" s="16"/>
      <c r="E58">
        <v>353</v>
      </c>
      <c r="F58">
        <v>11</v>
      </c>
      <c r="G58">
        <v>108</v>
      </c>
      <c r="H58">
        <v>353</v>
      </c>
      <c r="I58">
        <v>0</v>
      </c>
      <c r="J58">
        <v>0</v>
      </c>
      <c r="K58" s="16">
        <v>0</v>
      </c>
      <c r="L58" s="16">
        <v>0</v>
      </c>
      <c r="M58" s="16">
        <v>0</v>
      </c>
    </row>
    <row r="59" spans="1:13" x14ac:dyDescent="0.4">
      <c r="A59" s="16"/>
      <c r="B59" s="16"/>
      <c r="C59" s="16"/>
      <c r="D59" s="16" t="s">
        <v>368</v>
      </c>
      <c r="E59">
        <v>72</v>
      </c>
      <c r="F59">
        <v>0</v>
      </c>
      <c r="G59">
        <v>23</v>
      </c>
      <c r="H59">
        <v>72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</row>
    <row r="60" spans="1:13" x14ac:dyDescent="0.4">
      <c r="A60" s="16"/>
      <c r="B60" s="16"/>
      <c r="C60" s="16"/>
      <c r="D60" s="16" t="s">
        <v>369</v>
      </c>
      <c r="E60">
        <v>331</v>
      </c>
      <c r="F60">
        <v>0</v>
      </c>
      <c r="G60">
        <v>10</v>
      </c>
      <c r="H60">
        <v>31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</row>
    <row r="61" spans="1:13" x14ac:dyDescent="0.4">
      <c r="A61" s="16"/>
      <c r="B61" s="16"/>
      <c r="C61" s="16"/>
      <c r="D61" s="16" t="s">
        <v>370</v>
      </c>
      <c r="E61">
        <v>24</v>
      </c>
      <c r="F61">
        <v>1</v>
      </c>
      <c r="G61">
        <v>6</v>
      </c>
      <c r="H61">
        <v>24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</row>
    <row r="62" spans="1:13" x14ac:dyDescent="0.4">
      <c r="A62" s="16"/>
      <c r="B62" s="16"/>
      <c r="C62" s="16"/>
      <c r="D62" s="16" t="s">
        <v>371</v>
      </c>
      <c r="E62">
        <v>34</v>
      </c>
      <c r="F62">
        <v>0</v>
      </c>
      <c r="G62">
        <v>10</v>
      </c>
      <c r="H62">
        <v>34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</row>
    <row r="63" spans="1:13" x14ac:dyDescent="0.4">
      <c r="A63" s="16"/>
      <c r="B63" s="16"/>
      <c r="C63" s="16"/>
      <c r="D63" s="16" t="s">
        <v>372</v>
      </c>
      <c r="E63">
        <v>36</v>
      </c>
      <c r="F63">
        <v>1</v>
      </c>
      <c r="G63">
        <v>15</v>
      </c>
      <c r="H63">
        <v>36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</row>
    <row r="64" spans="1:13" x14ac:dyDescent="0.4">
      <c r="A64" s="16"/>
      <c r="B64" s="16"/>
      <c r="C64" s="16"/>
      <c r="D64" s="16" t="s">
        <v>373</v>
      </c>
      <c r="E64">
        <v>36</v>
      </c>
      <c r="F64">
        <v>0</v>
      </c>
      <c r="G64">
        <v>13</v>
      </c>
      <c r="H64">
        <v>36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</row>
    <row r="65" spans="1:13" x14ac:dyDescent="0.4">
      <c r="A65" s="16"/>
      <c r="B65" s="16"/>
      <c r="C65" s="16"/>
      <c r="D65" s="16" t="s">
        <v>374</v>
      </c>
      <c r="E65">
        <v>68</v>
      </c>
      <c r="F65">
        <v>8</v>
      </c>
      <c r="G65">
        <v>22</v>
      </c>
      <c r="H65">
        <v>68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</row>
    <row r="66" spans="1:13" x14ac:dyDescent="0.4">
      <c r="A66" s="16"/>
      <c r="B66" s="16"/>
      <c r="C66" s="16"/>
      <c r="D66" s="16" t="s">
        <v>367</v>
      </c>
      <c r="E66">
        <v>34</v>
      </c>
      <c r="F66">
        <v>1</v>
      </c>
      <c r="G66">
        <v>15</v>
      </c>
      <c r="H66">
        <v>34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</row>
    <row r="67" spans="1:13" x14ac:dyDescent="0.4">
      <c r="A67" s="16"/>
      <c r="B67" s="16"/>
      <c r="C67" s="16"/>
      <c r="D67" s="16"/>
    </row>
    <row r="68" spans="1:13" x14ac:dyDescent="0.4">
      <c r="A68" s="16"/>
      <c r="B68" s="16"/>
      <c r="C68" s="16"/>
      <c r="D68" s="16"/>
    </row>
    <row r="69" spans="1:13" x14ac:dyDescent="0.4">
      <c r="A69" s="16"/>
      <c r="B69" s="16"/>
      <c r="C69" s="16"/>
      <c r="D69" s="16"/>
    </row>
    <row r="70" spans="1:13" x14ac:dyDescent="0.4">
      <c r="A70" s="16"/>
      <c r="B70" s="16" t="s">
        <v>387</v>
      </c>
      <c r="C70" s="16"/>
      <c r="D70" s="16"/>
      <c r="E70">
        <v>2758</v>
      </c>
      <c r="F70">
        <v>1914</v>
      </c>
      <c r="G70">
        <v>1043</v>
      </c>
      <c r="H70">
        <v>2741</v>
      </c>
      <c r="I70">
        <v>3</v>
      </c>
      <c r="J70">
        <v>4</v>
      </c>
      <c r="K70">
        <v>0</v>
      </c>
      <c r="L70">
        <v>0</v>
      </c>
      <c r="M70">
        <v>0</v>
      </c>
    </row>
    <row r="71" spans="1:13" x14ac:dyDescent="0.4">
      <c r="A71" s="16"/>
      <c r="B71" s="16"/>
      <c r="C71" s="16" t="s">
        <v>357</v>
      </c>
      <c r="D71" s="16"/>
      <c r="E71">
        <v>44</v>
      </c>
      <c r="F71">
        <v>108</v>
      </c>
      <c r="G71">
        <v>61</v>
      </c>
      <c r="H71">
        <v>44</v>
      </c>
      <c r="I71">
        <v>0</v>
      </c>
      <c r="J71">
        <v>0</v>
      </c>
      <c r="K71" s="16">
        <v>0</v>
      </c>
      <c r="L71" s="16">
        <v>0</v>
      </c>
      <c r="M71" s="16">
        <v>0</v>
      </c>
    </row>
    <row r="72" spans="1:13" x14ac:dyDescent="0.4">
      <c r="A72" s="16"/>
      <c r="B72" s="16"/>
      <c r="C72" s="16" t="s">
        <v>358</v>
      </c>
      <c r="D72" s="16"/>
      <c r="E72">
        <v>745</v>
      </c>
      <c r="F72">
        <v>1342</v>
      </c>
      <c r="G72">
        <v>464</v>
      </c>
      <c r="H72">
        <v>745</v>
      </c>
      <c r="I72">
        <v>0</v>
      </c>
      <c r="J72">
        <v>0</v>
      </c>
      <c r="K72" s="16">
        <v>0</v>
      </c>
      <c r="L72" s="16">
        <v>0</v>
      </c>
      <c r="M72" s="16">
        <v>0</v>
      </c>
    </row>
    <row r="73" spans="1:13" x14ac:dyDescent="0.4">
      <c r="A73" s="16"/>
      <c r="B73" s="16"/>
      <c r="C73" s="16" t="s">
        <v>359</v>
      </c>
      <c r="D73" s="16"/>
      <c r="E73">
        <v>156</v>
      </c>
      <c r="F73">
        <v>54</v>
      </c>
      <c r="G73">
        <v>59</v>
      </c>
      <c r="H73">
        <v>156</v>
      </c>
      <c r="I73">
        <v>1</v>
      </c>
      <c r="J73">
        <v>0</v>
      </c>
      <c r="K73" s="16">
        <v>0</v>
      </c>
      <c r="L73" s="16">
        <v>0</v>
      </c>
      <c r="M73" s="16">
        <v>0</v>
      </c>
    </row>
    <row r="74" spans="1:13" x14ac:dyDescent="0.4">
      <c r="A74" s="16"/>
      <c r="B74" s="16"/>
      <c r="C74" s="16" t="s">
        <v>360</v>
      </c>
      <c r="D74" s="16"/>
      <c r="E74">
        <v>1</v>
      </c>
      <c r="F74">
        <v>84</v>
      </c>
      <c r="G74">
        <v>26</v>
      </c>
      <c r="H74">
        <v>1</v>
      </c>
      <c r="I74">
        <v>0.5</v>
      </c>
      <c r="J74">
        <v>0</v>
      </c>
      <c r="K74" s="16">
        <v>0</v>
      </c>
      <c r="L74" s="16">
        <v>0</v>
      </c>
      <c r="M74" s="16">
        <v>0</v>
      </c>
    </row>
    <row r="75" spans="1:13" x14ac:dyDescent="0.4">
      <c r="A75" s="16"/>
      <c r="B75" s="16"/>
      <c r="C75" s="16" t="s">
        <v>361</v>
      </c>
      <c r="D75" s="16"/>
      <c r="E75">
        <v>1348</v>
      </c>
      <c r="F75">
        <v>94</v>
      </c>
      <c r="G75">
        <v>374</v>
      </c>
      <c r="H75">
        <v>1348</v>
      </c>
      <c r="I75">
        <v>0</v>
      </c>
      <c r="J75">
        <v>4</v>
      </c>
      <c r="K75" s="16">
        <v>0</v>
      </c>
      <c r="L75" s="16">
        <v>0</v>
      </c>
      <c r="M75" s="16">
        <v>0</v>
      </c>
    </row>
    <row r="76" spans="1:13" x14ac:dyDescent="0.4">
      <c r="A76" s="16"/>
      <c r="B76" s="16"/>
      <c r="C76" s="16" t="s">
        <v>362</v>
      </c>
      <c r="D76" s="16"/>
      <c r="E76">
        <v>86</v>
      </c>
      <c r="F76">
        <v>57</v>
      </c>
      <c r="G76">
        <v>64</v>
      </c>
      <c r="H76">
        <v>86</v>
      </c>
      <c r="I76">
        <v>1</v>
      </c>
      <c r="J76">
        <v>0</v>
      </c>
      <c r="K76" s="16">
        <v>0</v>
      </c>
      <c r="L76" s="16">
        <v>0</v>
      </c>
      <c r="M76" s="16">
        <v>0</v>
      </c>
    </row>
    <row r="77" spans="1:13" x14ac:dyDescent="0.4">
      <c r="A77" s="16"/>
      <c r="B77" s="16"/>
      <c r="C77" s="16" t="s">
        <v>363</v>
      </c>
      <c r="D77" s="16"/>
      <c r="E77">
        <v>15</v>
      </c>
      <c r="F77">
        <v>56</v>
      </c>
      <c r="G77">
        <v>14</v>
      </c>
      <c r="H77">
        <v>15</v>
      </c>
      <c r="I77">
        <v>0</v>
      </c>
      <c r="J77">
        <v>0</v>
      </c>
      <c r="K77" s="16">
        <v>0</v>
      </c>
      <c r="L77" s="16">
        <v>0</v>
      </c>
      <c r="M77" s="16">
        <v>0</v>
      </c>
    </row>
    <row r="78" spans="1:13" x14ac:dyDescent="0.4">
      <c r="A78" s="16"/>
      <c r="B78" s="16"/>
      <c r="C78" s="16" t="s">
        <v>364</v>
      </c>
      <c r="D78" s="16"/>
      <c r="E78">
        <v>0</v>
      </c>
      <c r="F78">
        <v>54</v>
      </c>
      <c r="G78">
        <v>14</v>
      </c>
      <c r="H78">
        <v>0</v>
      </c>
      <c r="I78">
        <v>0.5</v>
      </c>
      <c r="J78">
        <v>0</v>
      </c>
      <c r="K78" s="16">
        <v>0</v>
      </c>
      <c r="L78" s="16">
        <v>0</v>
      </c>
      <c r="M78" s="16">
        <v>0</v>
      </c>
    </row>
    <row r="79" spans="1:13" x14ac:dyDescent="0.4">
      <c r="A79" s="16"/>
      <c r="B79" s="16"/>
      <c r="C79" s="16" t="s">
        <v>365</v>
      </c>
      <c r="D79" s="16"/>
      <c r="K79" s="16"/>
      <c r="L79" s="16"/>
      <c r="M79" s="16"/>
    </row>
    <row r="80" spans="1:13" x14ac:dyDescent="0.4">
      <c r="A80" s="16"/>
      <c r="B80" s="16"/>
      <c r="C80" s="16" t="s">
        <v>366</v>
      </c>
      <c r="D80" s="16"/>
      <c r="E80">
        <v>365</v>
      </c>
      <c r="F80">
        <v>11</v>
      </c>
      <c r="G80">
        <v>111</v>
      </c>
      <c r="H80">
        <v>365</v>
      </c>
      <c r="I80">
        <v>0</v>
      </c>
      <c r="J80">
        <v>0</v>
      </c>
      <c r="K80" s="16">
        <v>0</v>
      </c>
      <c r="L80" s="16">
        <v>0</v>
      </c>
      <c r="M80" s="16">
        <v>0</v>
      </c>
    </row>
    <row r="81" spans="1:13" x14ac:dyDescent="0.4">
      <c r="A81" s="16"/>
      <c r="B81" s="16"/>
      <c r="C81" s="16"/>
      <c r="D81" s="16" t="s">
        <v>368</v>
      </c>
      <c r="E81">
        <v>74</v>
      </c>
      <c r="F81">
        <v>0</v>
      </c>
      <c r="G81">
        <v>25</v>
      </c>
      <c r="H81">
        <v>25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</row>
    <row r="82" spans="1:13" x14ac:dyDescent="0.4">
      <c r="A82" s="16"/>
      <c r="B82" s="16"/>
      <c r="C82" s="16"/>
      <c r="D82" s="16" t="s">
        <v>369</v>
      </c>
      <c r="E82">
        <v>38</v>
      </c>
      <c r="F82">
        <v>0</v>
      </c>
      <c r="G82">
        <v>13</v>
      </c>
      <c r="H82">
        <v>38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</row>
    <row r="83" spans="1:13" x14ac:dyDescent="0.4">
      <c r="A83" s="16"/>
      <c r="B83" s="16"/>
      <c r="C83" s="16"/>
      <c r="D83" s="16" t="s">
        <v>370</v>
      </c>
      <c r="E83">
        <v>32</v>
      </c>
      <c r="F83">
        <v>1</v>
      </c>
      <c r="G83">
        <v>12</v>
      </c>
      <c r="H83">
        <v>32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</row>
    <row r="84" spans="1:13" x14ac:dyDescent="0.4">
      <c r="A84" s="16"/>
      <c r="B84" s="16"/>
      <c r="C84" s="16"/>
      <c r="D84" s="16" t="s">
        <v>371</v>
      </c>
      <c r="E84">
        <v>42</v>
      </c>
      <c r="F84">
        <v>0</v>
      </c>
      <c r="G84">
        <v>13</v>
      </c>
      <c r="H84">
        <v>42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</row>
    <row r="85" spans="1:13" x14ac:dyDescent="0.4">
      <c r="A85" s="16"/>
      <c r="B85" s="16"/>
      <c r="C85" s="16"/>
      <c r="D85" s="16" t="s">
        <v>372</v>
      </c>
      <c r="E85">
        <v>34</v>
      </c>
      <c r="F85">
        <v>1</v>
      </c>
      <c r="G85">
        <v>13</v>
      </c>
      <c r="H85">
        <v>34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</row>
    <row r="86" spans="1:13" x14ac:dyDescent="0.4">
      <c r="A86" s="16"/>
      <c r="B86" s="16"/>
      <c r="C86" s="16"/>
      <c r="D86" s="16" t="s">
        <v>373</v>
      </c>
      <c r="E86">
        <v>37</v>
      </c>
      <c r="F86">
        <v>0</v>
      </c>
      <c r="G86">
        <v>14</v>
      </c>
      <c r="H86">
        <v>37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</row>
    <row r="87" spans="1:13" x14ac:dyDescent="0.4">
      <c r="A87" s="16"/>
      <c r="B87" s="16"/>
      <c r="C87" s="16"/>
      <c r="D87" s="16" t="s">
        <v>374</v>
      </c>
      <c r="E87">
        <v>66</v>
      </c>
      <c r="F87">
        <v>8</v>
      </c>
      <c r="G87">
        <v>25</v>
      </c>
      <c r="H87">
        <v>66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</row>
    <row r="88" spans="1:13" x14ac:dyDescent="0.4">
      <c r="A88" s="16"/>
      <c r="B88" s="16"/>
      <c r="C88" s="16"/>
      <c r="D88" s="16" t="s">
        <v>367</v>
      </c>
      <c r="E88">
        <v>34</v>
      </c>
      <c r="F88">
        <v>1</v>
      </c>
      <c r="G88">
        <v>12</v>
      </c>
      <c r="H88">
        <v>34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</row>
    <row r="89" spans="1:13" x14ac:dyDescent="0.4">
      <c r="A89" s="16"/>
      <c r="B89" s="16"/>
      <c r="C89" s="16"/>
      <c r="D89" s="16"/>
    </row>
    <row r="90" spans="1:13" x14ac:dyDescent="0.4">
      <c r="A90" s="16"/>
      <c r="B90" s="16"/>
      <c r="C90" s="16"/>
      <c r="D90" s="16"/>
    </row>
    <row r="91" spans="1:13" x14ac:dyDescent="0.4">
      <c r="A91" s="16"/>
      <c r="B91" s="16" t="s">
        <v>382</v>
      </c>
      <c r="C91" s="16"/>
      <c r="D91" s="16"/>
      <c r="E91">
        <f>SUM(E92:E100)</f>
        <v>83</v>
      </c>
      <c r="F91" s="16">
        <f t="shared" ref="F91:L91" si="0">SUM(F92:F100)</f>
        <v>50</v>
      </c>
      <c r="G91" s="16">
        <f t="shared" si="0"/>
        <v>36</v>
      </c>
      <c r="H91" s="16">
        <f t="shared" si="0"/>
        <v>83</v>
      </c>
      <c r="I91" s="16">
        <f t="shared" si="0"/>
        <v>0.5</v>
      </c>
      <c r="J91" s="16">
        <f t="shared" si="0"/>
        <v>0</v>
      </c>
      <c r="K91" s="16">
        <f t="shared" si="0"/>
        <v>0</v>
      </c>
      <c r="L91" s="16">
        <f t="shared" si="0"/>
        <v>1</v>
      </c>
    </row>
    <row r="92" spans="1:13" x14ac:dyDescent="0.4">
      <c r="A92" s="16"/>
      <c r="B92" s="16"/>
      <c r="C92" s="16" t="s">
        <v>389</v>
      </c>
      <c r="E92" s="16">
        <v>44</v>
      </c>
      <c r="F92">
        <v>9</v>
      </c>
      <c r="G92">
        <v>14</v>
      </c>
      <c r="H92">
        <v>44</v>
      </c>
      <c r="I92">
        <v>0.5</v>
      </c>
      <c r="J92">
        <v>0</v>
      </c>
      <c r="K92" s="16">
        <v>0</v>
      </c>
      <c r="L92" s="16">
        <v>0</v>
      </c>
      <c r="M92" s="16">
        <v>0</v>
      </c>
    </row>
    <row r="93" spans="1:13" x14ac:dyDescent="0.4">
      <c r="A93" s="16"/>
      <c r="B93" s="16"/>
      <c r="C93" s="16" t="s">
        <v>390</v>
      </c>
      <c r="D93" s="16"/>
      <c r="E93">
        <v>9</v>
      </c>
      <c r="F93">
        <v>15</v>
      </c>
      <c r="G93">
        <v>5</v>
      </c>
      <c r="H93">
        <v>9</v>
      </c>
      <c r="I93">
        <v>0</v>
      </c>
      <c r="J93" s="16">
        <v>0</v>
      </c>
      <c r="K93" s="16">
        <v>0</v>
      </c>
      <c r="L93" s="16">
        <v>0</v>
      </c>
      <c r="M93" s="16">
        <v>0</v>
      </c>
    </row>
    <row r="94" spans="1:13" x14ac:dyDescent="0.4">
      <c r="A94" s="16"/>
      <c r="B94" s="16"/>
      <c r="C94" s="16" t="s">
        <v>391</v>
      </c>
      <c r="D94" s="16"/>
      <c r="E94">
        <v>5</v>
      </c>
      <c r="F94">
        <v>0</v>
      </c>
      <c r="G94">
        <v>2</v>
      </c>
      <c r="H94">
        <v>5</v>
      </c>
      <c r="I94">
        <v>0</v>
      </c>
      <c r="J94" s="16">
        <v>0</v>
      </c>
      <c r="K94" s="16">
        <v>0</v>
      </c>
      <c r="L94" s="16">
        <v>0</v>
      </c>
      <c r="M94" s="16">
        <v>0</v>
      </c>
    </row>
    <row r="95" spans="1:13" x14ac:dyDescent="0.4">
      <c r="A95" s="16"/>
      <c r="B95" s="16"/>
      <c r="C95" s="16" t="s">
        <v>392</v>
      </c>
      <c r="D95" s="16"/>
      <c r="E95">
        <v>5</v>
      </c>
      <c r="F95">
        <v>0</v>
      </c>
      <c r="G95">
        <v>2</v>
      </c>
      <c r="H95">
        <v>5</v>
      </c>
      <c r="I95">
        <v>0</v>
      </c>
      <c r="J95" s="16">
        <v>0</v>
      </c>
      <c r="K95" s="16">
        <v>0</v>
      </c>
      <c r="L95" s="16">
        <v>0</v>
      </c>
      <c r="M95" s="16">
        <v>0</v>
      </c>
    </row>
    <row r="96" spans="1:13" x14ac:dyDescent="0.4">
      <c r="A96" s="16"/>
      <c r="B96" s="16"/>
      <c r="C96" s="16" t="s">
        <v>393</v>
      </c>
      <c r="D96" s="16"/>
      <c r="E96">
        <v>5</v>
      </c>
      <c r="F96">
        <v>0</v>
      </c>
      <c r="G96">
        <v>2</v>
      </c>
      <c r="H96">
        <v>5</v>
      </c>
      <c r="I96">
        <v>0</v>
      </c>
      <c r="J96" s="16">
        <v>0</v>
      </c>
      <c r="K96" s="16">
        <v>0</v>
      </c>
      <c r="L96" s="16">
        <v>0</v>
      </c>
      <c r="M96" s="16">
        <v>0</v>
      </c>
    </row>
    <row r="97" spans="1:13" x14ac:dyDescent="0.4">
      <c r="A97" s="16"/>
      <c r="B97" s="16"/>
      <c r="C97" s="16" t="s">
        <v>394</v>
      </c>
      <c r="D97" s="16"/>
      <c r="E97">
        <v>5</v>
      </c>
      <c r="F97">
        <v>0</v>
      </c>
      <c r="G97">
        <v>2</v>
      </c>
      <c r="H97">
        <v>5</v>
      </c>
      <c r="I97">
        <v>0</v>
      </c>
      <c r="J97" s="16">
        <v>0</v>
      </c>
      <c r="K97" s="16">
        <v>0</v>
      </c>
      <c r="L97" s="16">
        <v>0</v>
      </c>
      <c r="M97" s="16">
        <v>0</v>
      </c>
    </row>
    <row r="98" spans="1:13" x14ac:dyDescent="0.4">
      <c r="A98" s="16"/>
      <c r="B98" s="16"/>
      <c r="C98" s="16" t="s">
        <v>395</v>
      </c>
      <c r="D98" s="16"/>
      <c r="E98">
        <v>10</v>
      </c>
      <c r="F98">
        <v>24</v>
      </c>
      <c r="G98">
        <v>8</v>
      </c>
      <c r="H98">
        <v>10</v>
      </c>
      <c r="I98">
        <v>0</v>
      </c>
      <c r="J98" s="16">
        <v>0</v>
      </c>
      <c r="K98" s="16">
        <v>0</v>
      </c>
      <c r="L98" s="16">
        <v>0</v>
      </c>
      <c r="M98" s="16">
        <v>0</v>
      </c>
    </row>
    <row r="99" spans="1:13" x14ac:dyDescent="0.4">
      <c r="A99" s="16"/>
      <c r="B99" s="16"/>
      <c r="C99" s="16" t="s">
        <v>396</v>
      </c>
      <c r="D99" s="16"/>
      <c r="E99">
        <v>0</v>
      </c>
      <c r="F99">
        <v>2</v>
      </c>
      <c r="G99">
        <v>1</v>
      </c>
      <c r="H99">
        <v>0</v>
      </c>
      <c r="I99">
        <v>0</v>
      </c>
      <c r="J99" s="16">
        <v>0</v>
      </c>
      <c r="K99" s="16">
        <v>0</v>
      </c>
      <c r="L99" s="16">
        <v>0</v>
      </c>
      <c r="M99" s="16">
        <v>0</v>
      </c>
    </row>
    <row r="100" spans="1:13" x14ac:dyDescent="0.4">
      <c r="A100" s="16"/>
      <c r="B100" s="16"/>
      <c r="C100" s="16" t="s">
        <v>383</v>
      </c>
      <c r="D100" s="16"/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</row>
    <row r="103" spans="1:13" x14ac:dyDescent="0.4">
      <c r="A103" t="s">
        <v>455</v>
      </c>
      <c r="F103" t="s">
        <v>454</v>
      </c>
    </row>
    <row r="104" spans="1:13" x14ac:dyDescent="0.4">
      <c r="A104" t="s">
        <v>45</v>
      </c>
      <c r="B104" t="s">
        <v>458</v>
      </c>
      <c r="C104" s="16" t="s">
        <v>77</v>
      </c>
      <c r="D104" s="16" t="s">
        <v>78</v>
      </c>
      <c r="F104" t="s">
        <v>458</v>
      </c>
      <c r="G104" s="16" t="s">
        <v>77</v>
      </c>
      <c r="H104" t="s">
        <v>456</v>
      </c>
    </row>
    <row r="105" spans="1:13" x14ac:dyDescent="0.4">
      <c r="B105" s="16">
        <v>0</v>
      </c>
      <c r="C105">
        <v>1.5149999999999999</v>
      </c>
      <c r="D105">
        <v>1.464</v>
      </c>
      <c r="F105" s="16">
        <v>0</v>
      </c>
      <c r="G105">
        <v>1.611</v>
      </c>
      <c r="H105" t="s">
        <v>457</v>
      </c>
    </row>
    <row r="106" spans="1:13" x14ac:dyDescent="0.4">
      <c r="B106" s="16">
        <v>0</v>
      </c>
      <c r="C106">
        <v>1.5149999999999999</v>
      </c>
      <c r="D106">
        <v>1.464</v>
      </c>
      <c r="F106" s="16">
        <v>0</v>
      </c>
      <c r="G106">
        <v>1.611</v>
      </c>
    </row>
    <row r="107" spans="1:13" x14ac:dyDescent="0.4">
      <c r="B107" s="16">
        <v>1</v>
      </c>
      <c r="C107">
        <v>1.5149999999999999</v>
      </c>
      <c r="D107">
        <v>1.466</v>
      </c>
      <c r="F107" s="16">
        <v>1</v>
      </c>
      <c r="G107">
        <v>1.611</v>
      </c>
    </row>
    <row r="108" spans="1:13" x14ac:dyDescent="0.4">
      <c r="B108" s="16">
        <v>1</v>
      </c>
      <c r="C108">
        <v>1.538</v>
      </c>
      <c r="D108">
        <v>1.476</v>
      </c>
      <c r="F108" s="16">
        <v>1</v>
      </c>
      <c r="G108">
        <v>1.611</v>
      </c>
    </row>
    <row r="109" spans="1:13" x14ac:dyDescent="0.4">
      <c r="B109" s="16">
        <v>2</v>
      </c>
      <c r="C109">
        <v>1.5149999999999999</v>
      </c>
      <c r="D109">
        <v>1.476</v>
      </c>
      <c r="F109" s="16">
        <v>2</v>
      </c>
      <c r="G109">
        <v>1.6140000000000001</v>
      </c>
    </row>
    <row r="110" spans="1:13" x14ac:dyDescent="0.4">
      <c r="B110" s="16">
        <v>2</v>
      </c>
      <c r="C110">
        <v>1.5149999999999999</v>
      </c>
      <c r="D110">
        <v>1.466</v>
      </c>
      <c r="F110" s="16">
        <v>2</v>
      </c>
      <c r="G110">
        <v>1.611</v>
      </c>
    </row>
    <row r="111" spans="1:13" x14ac:dyDescent="0.4">
      <c r="B111" s="16">
        <v>3</v>
      </c>
      <c r="C111">
        <v>1.5149999999999999</v>
      </c>
      <c r="D111">
        <v>1.476</v>
      </c>
      <c r="F111" s="16">
        <v>3</v>
      </c>
      <c r="G111">
        <v>1.6240000000000001</v>
      </c>
    </row>
    <row r="112" spans="1:13" x14ac:dyDescent="0.4">
      <c r="B112" s="16">
        <v>3</v>
      </c>
      <c r="C112">
        <v>1.5169999999999999</v>
      </c>
      <c r="D112">
        <v>1.474</v>
      </c>
      <c r="F112" s="16">
        <v>3</v>
      </c>
      <c r="G112">
        <v>1.621</v>
      </c>
    </row>
    <row r="113" spans="2:7" x14ac:dyDescent="0.4">
      <c r="B113" s="16">
        <v>4</v>
      </c>
      <c r="C113">
        <v>1.5169999999999999</v>
      </c>
      <c r="D113">
        <v>1.466</v>
      </c>
      <c r="F113" s="16">
        <v>4</v>
      </c>
      <c r="G113">
        <v>1.621</v>
      </c>
    </row>
    <row r="114" spans="2:7" x14ac:dyDescent="0.4">
      <c r="B114" s="16">
        <v>4</v>
      </c>
      <c r="C114">
        <v>1.5249999999999999</v>
      </c>
      <c r="D114">
        <v>1.466</v>
      </c>
      <c r="F114" s="16">
        <v>4</v>
      </c>
      <c r="G114">
        <v>1.601</v>
      </c>
    </row>
    <row r="115" spans="2:7" x14ac:dyDescent="0.4">
      <c r="B115" s="16">
        <v>5</v>
      </c>
      <c r="C115">
        <v>1.5249999999999999</v>
      </c>
      <c r="D115">
        <v>1.466</v>
      </c>
      <c r="F115" s="16">
        <v>5</v>
      </c>
      <c r="G115">
        <v>1.611</v>
      </c>
    </row>
    <row r="116" spans="2:7" x14ac:dyDescent="0.4">
      <c r="B116" s="16">
        <v>5</v>
      </c>
      <c r="C116">
        <v>1.5169999999999999</v>
      </c>
      <c r="D116">
        <v>1.464</v>
      </c>
      <c r="F116" s="16">
        <v>5</v>
      </c>
      <c r="G116">
        <v>1.6140000000000001</v>
      </c>
    </row>
    <row r="117" spans="2:7" x14ac:dyDescent="0.4">
      <c r="B117" s="16">
        <v>6</v>
      </c>
      <c r="C117">
        <v>1.5169999999999999</v>
      </c>
      <c r="D117">
        <v>1.464</v>
      </c>
      <c r="F117" s="16">
        <v>6</v>
      </c>
      <c r="G117">
        <v>1.601</v>
      </c>
    </row>
    <row r="118" spans="2:7" x14ac:dyDescent="0.4">
      <c r="B118" s="16">
        <v>6</v>
      </c>
      <c r="C118">
        <v>1.5169999999999999</v>
      </c>
      <c r="D118">
        <v>1.464</v>
      </c>
      <c r="F118" s="16">
        <v>6</v>
      </c>
      <c r="G118">
        <v>1.611</v>
      </c>
    </row>
    <row r="119" spans="2:7" x14ac:dyDescent="0.4">
      <c r="B119" s="16">
        <v>7</v>
      </c>
      <c r="C119">
        <v>1.5169999999999999</v>
      </c>
      <c r="D119">
        <v>1.466</v>
      </c>
      <c r="F119" s="16">
        <v>7</v>
      </c>
      <c r="G119">
        <v>1.6140000000000001</v>
      </c>
    </row>
    <row r="120" spans="2:7" x14ac:dyDescent="0.4">
      <c r="B120" s="16">
        <v>7</v>
      </c>
      <c r="C120">
        <v>1.5249999999999999</v>
      </c>
      <c r="D120">
        <v>1.476</v>
      </c>
      <c r="F120" s="16">
        <v>7</v>
      </c>
      <c r="G120">
        <v>1.611</v>
      </c>
    </row>
    <row r="121" spans="2:7" x14ac:dyDescent="0.4">
      <c r="B121" s="16">
        <v>8</v>
      </c>
      <c r="C121">
        <v>1.5249999999999999</v>
      </c>
      <c r="D121">
        <v>1.464</v>
      </c>
      <c r="F121" s="16">
        <v>8</v>
      </c>
      <c r="G121">
        <v>1.6240000000000001</v>
      </c>
    </row>
    <row r="122" spans="2:7" x14ac:dyDescent="0.4">
      <c r="B122" s="16">
        <v>8</v>
      </c>
      <c r="C122">
        <v>1.5149999999999999</v>
      </c>
      <c r="D122">
        <v>1.474</v>
      </c>
      <c r="F122" s="16">
        <v>8</v>
      </c>
      <c r="G122">
        <v>1.6240000000000001</v>
      </c>
    </row>
    <row r="123" spans="2:7" x14ac:dyDescent="0.4">
      <c r="B123" s="16">
        <v>9</v>
      </c>
      <c r="C123">
        <v>1.5149999999999999</v>
      </c>
      <c r="D123">
        <v>1.474</v>
      </c>
      <c r="F123" s="16">
        <v>9</v>
      </c>
      <c r="G123">
        <v>1.6240000000000001</v>
      </c>
    </row>
    <row r="124" spans="2:7" x14ac:dyDescent="0.4">
      <c r="B124" s="16">
        <v>9</v>
      </c>
      <c r="C124">
        <v>1.5149999999999999</v>
      </c>
      <c r="D124">
        <v>1.476</v>
      </c>
      <c r="F124" s="16">
        <v>9</v>
      </c>
      <c r="G124">
        <v>1.621</v>
      </c>
    </row>
    <row r="125" spans="2:7" x14ac:dyDescent="0.4">
      <c r="B125" s="16">
        <v>10</v>
      </c>
      <c r="C125">
        <v>1.5169999999999999</v>
      </c>
      <c r="D125">
        <v>1.476</v>
      </c>
      <c r="F125" s="16">
        <v>10</v>
      </c>
      <c r="G125">
        <v>1.611</v>
      </c>
    </row>
    <row r="126" spans="2:7" x14ac:dyDescent="0.4">
      <c r="B126" s="16">
        <v>10</v>
      </c>
      <c r="C126">
        <v>1.5169999999999999</v>
      </c>
      <c r="D126">
        <v>1.464</v>
      </c>
      <c r="F126" s="16">
        <v>10</v>
      </c>
      <c r="G126">
        <v>1.611</v>
      </c>
    </row>
    <row r="127" spans="2:7" x14ac:dyDescent="0.4">
      <c r="B127" s="16">
        <v>11</v>
      </c>
      <c r="C127">
        <v>1.5169999999999999</v>
      </c>
      <c r="D127">
        <v>1.464</v>
      </c>
      <c r="F127" s="16">
        <v>11</v>
      </c>
      <c r="G127">
        <v>1.611</v>
      </c>
    </row>
    <row r="128" spans="2:7" x14ac:dyDescent="0.4">
      <c r="B128" s="16">
        <v>11</v>
      </c>
      <c r="C128">
        <v>1.5149999999999999</v>
      </c>
      <c r="D128">
        <v>1.464</v>
      </c>
      <c r="F128" s="16">
        <v>11</v>
      </c>
      <c r="G128">
        <v>1.611</v>
      </c>
    </row>
    <row r="129" spans="2:7" x14ac:dyDescent="0.4">
      <c r="B129" s="16">
        <v>12</v>
      </c>
      <c r="C129">
        <v>1.5249999999999999</v>
      </c>
      <c r="D129">
        <v>1.474</v>
      </c>
      <c r="F129" s="16">
        <v>12</v>
      </c>
      <c r="G129">
        <v>1.621</v>
      </c>
    </row>
    <row r="130" spans="2:7" x14ac:dyDescent="0.4">
      <c r="B130" s="16">
        <v>12</v>
      </c>
      <c r="C130">
        <v>1.5249999999999999</v>
      </c>
      <c r="D130">
        <v>1.466</v>
      </c>
      <c r="F130" s="16">
        <v>12</v>
      </c>
      <c r="G130">
        <v>1.621</v>
      </c>
    </row>
    <row r="131" spans="2:7" x14ac:dyDescent="0.4">
      <c r="B131" s="16">
        <v>13</v>
      </c>
      <c r="C131">
        <v>1.5249999999999999</v>
      </c>
      <c r="D131">
        <v>1.466</v>
      </c>
      <c r="F131" s="16">
        <v>13</v>
      </c>
      <c r="G131">
        <v>1.611</v>
      </c>
    </row>
    <row r="132" spans="2:7" x14ac:dyDescent="0.4">
      <c r="B132" s="16">
        <v>13</v>
      </c>
      <c r="C132">
        <v>1.5249999999999999</v>
      </c>
      <c r="D132">
        <v>1.476</v>
      </c>
      <c r="F132" s="16">
        <v>13</v>
      </c>
      <c r="G132">
        <v>1.621</v>
      </c>
    </row>
    <row r="133" spans="2:7" x14ac:dyDescent="0.4">
      <c r="B133" s="16">
        <v>14</v>
      </c>
      <c r="C133">
        <v>1.5149999999999999</v>
      </c>
      <c r="D133">
        <v>1.474</v>
      </c>
      <c r="F133" s="16">
        <v>14</v>
      </c>
      <c r="G133">
        <v>1.6240000000000001</v>
      </c>
    </row>
    <row r="134" spans="2:7" x14ac:dyDescent="0.4">
      <c r="B134" s="16">
        <v>14</v>
      </c>
      <c r="C134">
        <v>1.5069999999999999</v>
      </c>
      <c r="D134">
        <v>1.474</v>
      </c>
      <c r="F134" s="16">
        <v>14</v>
      </c>
      <c r="G134">
        <v>1.6140000000000001</v>
      </c>
    </row>
    <row r="135" spans="2:7" x14ac:dyDescent="0.4">
      <c r="B135" s="16">
        <v>15</v>
      </c>
      <c r="C135">
        <v>1.5149999999999999</v>
      </c>
      <c r="D135">
        <v>1.466</v>
      </c>
      <c r="F135" s="16">
        <v>15</v>
      </c>
      <c r="G135">
        <v>1.6140000000000001</v>
      </c>
    </row>
    <row r="136" spans="2:7" x14ac:dyDescent="0.4">
      <c r="B136" s="16">
        <v>15</v>
      </c>
      <c r="C136">
        <v>1.5149999999999999</v>
      </c>
      <c r="D136">
        <v>1.466</v>
      </c>
      <c r="F136" s="16">
        <v>15</v>
      </c>
      <c r="G136">
        <v>1.611</v>
      </c>
    </row>
    <row r="137" spans="2:7" x14ac:dyDescent="0.4">
      <c r="B137" s="16">
        <v>16</v>
      </c>
      <c r="C137">
        <v>1.5269999999999999</v>
      </c>
      <c r="D137">
        <v>1.476</v>
      </c>
      <c r="F137" s="16">
        <v>16</v>
      </c>
      <c r="G137">
        <v>1.6140000000000001</v>
      </c>
    </row>
    <row r="138" spans="2:7" x14ac:dyDescent="0.4">
      <c r="B138" s="16">
        <v>16</v>
      </c>
      <c r="C138">
        <v>1.5249999999999999</v>
      </c>
      <c r="D138">
        <v>1.474</v>
      </c>
      <c r="F138" s="16">
        <v>16</v>
      </c>
      <c r="G138">
        <v>1.611</v>
      </c>
    </row>
    <row r="139" spans="2:7" x14ac:dyDescent="0.4">
      <c r="B139" s="16">
        <v>17</v>
      </c>
      <c r="C139">
        <v>1.5249999999999999</v>
      </c>
      <c r="D139">
        <v>1.474</v>
      </c>
      <c r="F139" s="16">
        <v>17</v>
      </c>
      <c r="G139">
        <v>1.621</v>
      </c>
    </row>
    <row r="140" spans="2:7" x14ac:dyDescent="0.4">
      <c r="B140" s="16">
        <v>17</v>
      </c>
      <c r="C140">
        <v>1.5269999999999999</v>
      </c>
      <c r="D140">
        <v>1.466</v>
      </c>
      <c r="F140" s="16">
        <v>17</v>
      </c>
      <c r="G140">
        <v>1.611</v>
      </c>
    </row>
    <row r="141" spans="2:7" x14ac:dyDescent="0.4">
      <c r="B141" s="16">
        <v>18</v>
      </c>
      <c r="C141">
        <v>1.5249999999999999</v>
      </c>
      <c r="D141">
        <v>1.466</v>
      </c>
      <c r="F141" s="16">
        <v>18</v>
      </c>
      <c r="G141">
        <v>1.621</v>
      </c>
    </row>
    <row r="142" spans="2:7" x14ac:dyDescent="0.4">
      <c r="B142" s="16">
        <v>18</v>
      </c>
      <c r="C142">
        <v>1.5269999999999999</v>
      </c>
      <c r="D142">
        <v>1.474</v>
      </c>
      <c r="F142" s="16">
        <v>18</v>
      </c>
      <c r="G142">
        <v>1.5980000000000001</v>
      </c>
    </row>
    <row r="143" spans="2:7" x14ac:dyDescent="0.4">
      <c r="B143" s="16">
        <v>19</v>
      </c>
      <c r="C143">
        <v>1.5249999999999999</v>
      </c>
      <c r="D143">
        <v>1.464</v>
      </c>
      <c r="F143" s="16">
        <v>19</v>
      </c>
      <c r="G143">
        <v>1.611</v>
      </c>
    </row>
    <row r="144" spans="2:7" x14ac:dyDescent="0.4">
      <c r="B144" s="16">
        <v>19</v>
      </c>
      <c r="C144">
        <v>1.5249999999999999</v>
      </c>
      <c r="D144">
        <v>1.464</v>
      </c>
      <c r="F144" s="16">
        <v>19</v>
      </c>
      <c r="G144">
        <v>1.6080000000000001</v>
      </c>
    </row>
    <row r="145" spans="2:7" x14ac:dyDescent="0.4">
      <c r="B145" s="16">
        <v>20</v>
      </c>
      <c r="C145">
        <v>1.5249999999999999</v>
      </c>
      <c r="D145">
        <v>1.474</v>
      </c>
      <c r="F145" s="16">
        <v>20</v>
      </c>
      <c r="G145">
        <v>1.611</v>
      </c>
    </row>
    <row r="146" spans="2:7" x14ac:dyDescent="0.4">
      <c r="B146" s="16">
        <v>20</v>
      </c>
      <c r="C146">
        <v>1.5169999999999999</v>
      </c>
      <c r="D146">
        <v>1.476</v>
      </c>
      <c r="F146" s="16">
        <v>20</v>
      </c>
      <c r="G146">
        <v>1.611</v>
      </c>
    </row>
    <row r="147" spans="2:7" x14ac:dyDescent="0.4">
      <c r="B147" s="16">
        <v>21</v>
      </c>
      <c r="C147">
        <v>1.504</v>
      </c>
      <c r="D147">
        <v>1.466</v>
      </c>
      <c r="F147" s="16">
        <v>21</v>
      </c>
      <c r="G147">
        <v>1.6080000000000001</v>
      </c>
    </row>
    <row r="148" spans="2:7" x14ac:dyDescent="0.4">
      <c r="B148" s="16">
        <v>21</v>
      </c>
      <c r="C148">
        <v>1.5149999999999999</v>
      </c>
      <c r="D148">
        <v>1.466</v>
      </c>
      <c r="F148" s="16">
        <v>21</v>
      </c>
      <c r="G148">
        <v>1.621</v>
      </c>
    </row>
    <row r="149" spans="2:7" x14ac:dyDescent="0.4">
      <c r="B149" s="16">
        <v>22</v>
      </c>
      <c r="C149">
        <v>1.5249999999999999</v>
      </c>
      <c r="D149">
        <v>1.466</v>
      </c>
      <c r="F149" s="16">
        <v>22</v>
      </c>
      <c r="G149">
        <v>1.621</v>
      </c>
    </row>
    <row r="150" spans="2:7" x14ac:dyDescent="0.4">
      <c r="B150" s="16">
        <v>22</v>
      </c>
      <c r="C150">
        <v>1.5069999999999999</v>
      </c>
      <c r="D150">
        <v>1.466</v>
      </c>
      <c r="F150" s="16">
        <v>22</v>
      </c>
      <c r="G150">
        <v>1.6140000000000001</v>
      </c>
    </row>
    <row r="151" spans="2:7" x14ac:dyDescent="0.4">
      <c r="B151" s="16">
        <v>23</v>
      </c>
      <c r="C151">
        <v>1.5149999999999999</v>
      </c>
      <c r="D151">
        <v>1.466</v>
      </c>
      <c r="F151" s="16">
        <v>23</v>
      </c>
      <c r="G151">
        <v>1.621</v>
      </c>
    </row>
    <row r="152" spans="2:7" x14ac:dyDescent="0.4">
      <c r="B152" s="16">
        <v>23</v>
      </c>
      <c r="C152">
        <v>1.5269999999999999</v>
      </c>
      <c r="D152">
        <v>1.476</v>
      </c>
      <c r="F152" s="16">
        <v>23</v>
      </c>
      <c r="G152">
        <v>1.621</v>
      </c>
    </row>
    <row r="153" spans="2:7" x14ac:dyDescent="0.4">
      <c r="B153" s="16">
        <v>24</v>
      </c>
      <c r="C153">
        <v>1.5269999999999999</v>
      </c>
      <c r="D153">
        <v>1.466</v>
      </c>
      <c r="F153" s="16">
        <v>24</v>
      </c>
      <c r="G153">
        <v>1.611</v>
      </c>
    </row>
    <row r="154" spans="2:7" x14ac:dyDescent="0.4">
      <c r="B154" s="16">
        <v>24</v>
      </c>
      <c r="C154">
        <v>1.504</v>
      </c>
      <c r="D154">
        <v>1.466</v>
      </c>
      <c r="F154" s="16">
        <v>24</v>
      </c>
      <c r="G154">
        <v>1.611</v>
      </c>
    </row>
    <row r="155" spans="2:7" x14ac:dyDescent="0.4">
      <c r="B155" s="16">
        <v>25</v>
      </c>
      <c r="C155">
        <v>1.5169999999999999</v>
      </c>
      <c r="D155">
        <v>1.476</v>
      </c>
      <c r="F155" s="16">
        <v>25</v>
      </c>
      <c r="G155">
        <v>1.611</v>
      </c>
    </row>
    <row r="156" spans="2:7" x14ac:dyDescent="0.4">
      <c r="B156" s="16">
        <v>25</v>
      </c>
      <c r="C156">
        <v>1.5169999999999999</v>
      </c>
      <c r="D156">
        <v>1.474</v>
      </c>
      <c r="F156" s="16">
        <v>25</v>
      </c>
      <c r="G156">
        <v>1.6140000000000001</v>
      </c>
    </row>
    <row r="157" spans="2:7" x14ac:dyDescent="0.4">
      <c r="B157" s="16">
        <v>26</v>
      </c>
      <c r="C157">
        <v>1.5169999999999999</v>
      </c>
      <c r="D157">
        <v>1.474</v>
      </c>
      <c r="F157" s="16">
        <v>26</v>
      </c>
      <c r="G157">
        <v>1.611</v>
      </c>
    </row>
    <row r="158" spans="2:7" x14ac:dyDescent="0.4">
      <c r="B158" s="16">
        <v>26</v>
      </c>
      <c r="C158">
        <v>1.5149999999999999</v>
      </c>
      <c r="D158">
        <v>1.466</v>
      </c>
      <c r="F158" s="16">
        <v>26</v>
      </c>
      <c r="G158">
        <v>1.611</v>
      </c>
    </row>
    <row r="159" spans="2:7" x14ac:dyDescent="0.4">
      <c r="B159" s="16">
        <v>27</v>
      </c>
      <c r="C159">
        <v>1.5069999999999999</v>
      </c>
      <c r="D159">
        <v>1.476</v>
      </c>
      <c r="F159" s="16">
        <v>27</v>
      </c>
      <c r="G159">
        <v>1.6240000000000001</v>
      </c>
    </row>
    <row r="160" spans="2:7" x14ac:dyDescent="0.4">
      <c r="B160" s="16">
        <v>27</v>
      </c>
      <c r="C160">
        <v>1.5149999999999999</v>
      </c>
      <c r="D160">
        <v>1.466</v>
      </c>
      <c r="F160" s="16">
        <v>27</v>
      </c>
      <c r="G160">
        <v>1.6140000000000001</v>
      </c>
    </row>
    <row r="161" spans="2:7" x14ac:dyDescent="0.4">
      <c r="B161" s="16">
        <v>28</v>
      </c>
      <c r="C161">
        <v>1.5169999999999999</v>
      </c>
      <c r="D161">
        <v>1.464</v>
      </c>
      <c r="F161" s="16">
        <v>28</v>
      </c>
      <c r="G161">
        <v>1.6180000000000001</v>
      </c>
    </row>
    <row r="162" spans="2:7" x14ac:dyDescent="0.4">
      <c r="B162" s="16">
        <v>28</v>
      </c>
      <c r="C162">
        <v>1.5149999999999999</v>
      </c>
      <c r="D162">
        <v>1.466</v>
      </c>
      <c r="F162" s="16">
        <v>28</v>
      </c>
      <c r="G162">
        <v>1.611</v>
      </c>
    </row>
    <row r="163" spans="2:7" x14ac:dyDescent="0.4">
      <c r="B163" s="16">
        <v>29</v>
      </c>
      <c r="C163">
        <v>1.5169999999999999</v>
      </c>
      <c r="D163">
        <v>1.466</v>
      </c>
      <c r="F163" s="16">
        <v>29</v>
      </c>
      <c r="G163">
        <v>1.611</v>
      </c>
    </row>
    <row r="164" spans="2:7" x14ac:dyDescent="0.4">
      <c r="B164" s="16">
        <v>29</v>
      </c>
      <c r="C164">
        <v>1.5169999999999999</v>
      </c>
      <c r="D164">
        <v>1.476</v>
      </c>
      <c r="F164" s="16">
        <v>29</v>
      </c>
      <c r="G164">
        <v>1.611</v>
      </c>
    </row>
    <row r="165" spans="2:7" x14ac:dyDescent="0.4">
      <c r="B165" s="16">
        <v>30</v>
      </c>
      <c r="C165">
        <v>1.5169999999999999</v>
      </c>
      <c r="D165">
        <v>1.476</v>
      </c>
      <c r="F165" s="16">
        <v>30</v>
      </c>
      <c r="G165">
        <v>1.621</v>
      </c>
    </row>
    <row r="166" spans="2:7" x14ac:dyDescent="0.4">
      <c r="B166" s="16">
        <v>30</v>
      </c>
      <c r="C166">
        <v>1.5269999999999999</v>
      </c>
      <c r="D166">
        <v>1.4610000000000001</v>
      </c>
      <c r="F166" s="16">
        <v>30</v>
      </c>
      <c r="G166">
        <v>1.621</v>
      </c>
    </row>
    <row r="167" spans="2:7" x14ac:dyDescent="0.4">
      <c r="C167">
        <f>AVERAGE(C105:C166)</f>
        <v>1.5187580645161289</v>
      </c>
      <c r="D167" s="16">
        <f>AVERAGE(D105:D166)</f>
        <v>1.469338709677418</v>
      </c>
      <c r="G167">
        <f>AVERAGE(G105:G166)</f>
        <v>1.6144354838709678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1"/>
  <sheetViews>
    <sheetView tabSelected="1" zoomScaleNormal="100" workbookViewId="0">
      <selection activeCell="G2" sqref="G2"/>
    </sheetView>
  </sheetViews>
  <sheetFormatPr defaultRowHeight="18.75" x14ac:dyDescent="0.4"/>
  <cols>
    <col min="4" max="6" width="13.375" bestFit="1" customWidth="1"/>
    <col min="7" max="7" width="14.125" customWidth="1"/>
    <col min="8" max="8" width="11.75" customWidth="1"/>
    <col min="9" max="9" width="14.75" customWidth="1"/>
    <col min="10" max="10" width="13.375" bestFit="1" customWidth="1"/>
    <col min="11" max="11" width="14.125" customWidth="1"/>
    <col min="17" max="17" width="15.25" customWidth="1"/>
    <col min="18" max="18" width="14.5" customWidth="1"/>
  </cols>
  <sheetData>
    <row r="1" spans="1:18" x14ac:dyDescent="0.4">
      <c r="A1" t="s">
        <v>400</v>
      </c>
      <c r="D1" t="s">
        <v>401</v>
      </c>
      <c r="E1" t="s">
        <v>411</v>
      </c>
      <c r="F1" t="s">
        <v>412</v>
      </c>
      <c r="G1" t="s">
        <v>475</v>
      </c>
    </row>
    <row r="2" spans="1:18" ht="20.25" x14ac:dyDescent="0.4">
      <c r="A2" t="s">
        <v>463</v>
      </c>
      <c r="B2" t="s">
        <v>402</v>
      </c>
      <c r="D2">
        <f>Async回路回帰分析_グラフ出力!L107</f>
        <v>3.9442682124139197E-3</v>
      </c>
      <c r="E2">
        <f>Async回路回帰分析_グラフ出力!L108</f>
        <v>5.635644152798038E-6</v>
      </c>
      <c r="F2">
        <f>Async回路回帰分析_グラフ出力!L109</f>
        <v>1.3464872904160924E-5</v>
      </c>
      <c r="G2">
        <f>Async回路回帰分析_グラフ出力!L106</f>
        <v>1.3531910795274242</v>
      </c>
    </row>
    <row r="3" spans="1:18" ht="20.25" x14ac:dyDescent="0.4">
      <c r="A3" t="s">
        <v>461</v>
      </c>
      <c r="B3" t="s">
        <v>431</v>
      </c>
      <c r="D3">
        <f>Async回路回帰分析_グラフ出力!B193</f>
        <v>1.8996082387258299E-13</v>
      </c>
      <c r="E3">
        <f>Async回路回帰分析_グラフ出力!B194</f>
        <v>4.6329777419901379E-13</v>
      </c>
      <c r="G3">
        <f>Async回路回帰分析_グラフ出力!B192</f>
        <v>-7.0054888531168178E-10</v>
      </c>
    </row>
    <row r="4" spans="1:18" ht="20.25" x14ac:dyDescent="0.4">
      <c r="A4" t="s">
        <v>462</v>
      </c>
      <c r="B4" t="s">
        <v>418</v>
      </c>
      <c r="D4" s="31">
        <f>Async回路回帰分析_グラフ出力!L132</f>
        <v>2.1322859838098701E-7</v>
      </c>
      <c r="G4">
        <f>Async回路回帰分析_グラフ出力!L131</f>
        <v>1.4809399863983466</v>
      </c>
    </row>
    <row r="6" spans="1:18" x14ac:dyDescent="0.4">
      <c r="B6" t="s">
        <v>469</v>
      </c>
      <c r="C6" t="s">
        <v>410</v>
      </c>
      <c r="D6" t="s">
        <v>44</v>
      </c>
      <c r="E6" t="s">
        <v>189</v>
      </c>
      <c r="F6" t="s">
        <v>403</v>
      </c>
      <c r="G6" t="s">
        <v>464</v>
      </c>
      <c r="H6" t="s">
        <v>465</v>
      </c>
      <c r="I6" t="s">
        <v>466</v>
      </c>
      <c r="J6" t="s">
        <v>467</v>
      </c>
      <c r="K6" t="s">
        <v>474</v>
      </c>
      <c r="L6" t="s">
        <v>468</v>
      </c>
      <c r="N6" t="s">
        <v>470</v>
      </c>
      <c r="O6" t="s">
        <v>471</v>
      </c>
      <c r="P6" t="s">
        <v>441</v>
      </c>
      <c r="Q6" t="s">
        <v>461</v>
      </c>
      <c r="R6" t="s">
        <v>462</v>
      </c>
    </row>
    <row r="7" spans="1:18" x14ac:dyDescent="0.4">
      <c r="A7" t="s">
        <v>399</v>
      </c>
      <c r="B7" t="s">
        <v>404</v>
      </c>
      <c r="C7" s="16">
        <f>DDP_Datasheet_16bit!$R$5</f>
        <v>14.653</v>
      </c>
      <c r="D7">
        <v>1987</v>
      </c>
      <c r="E7">
        <v>2757</v>
      </c>
      <c r="F7">
        <f>DDP_Datasheet_16bit!D167</f>
        <v>1.4647580645161282</v>
      </c>
      <c r="G7" s="32">
        <f>C7*$D$2+D7*$E$2+E7*$F$2</f>
        <v>0.10611604164488253</v>
      </c>
      <c r="H7" s="32"/>
      <c r="I7" s="32"/>
      <c r="J7" s="32"/>
      <c r="K7" s="32"/>
      <c r="L7">
        <f>DDP_Datasheet_16bit!C167</f>
        <v>1.505790322580645</v>
      </c>
      <c r="N7" t="s">
        <v>438</v>
      </c>
      <c r="O7">
        <f>DDP_Datasheet_16bit!$G$167</f>
        <v>1.5900483870967734</v>
      </c>
      <c r="P7">
        <v>20</v>
      </c>
    </row>
    <row r="8" spans="1:18" x14ac:dyDescent="0.4">
      <c r="B8" t="s">
        <v>357</v>
      </c>
      <c r="C8">
        <f>DDP_Datasheet_16bit!$R$5</f>
        <v>14.653</v>
      </c>
      <c r="D8">
        <f>DDP_Datasheet_16bit!E5+DDP_Datasheet_16bit!E15</f>
        <v>120</v>
      </c>
      <c r="E8">
        <f>DDP_Datasheet_16bit!F5+DDP_Datasheet_16bit!F15</f>
        <v>76</v>
      </c>
      <c r="G8" s="32">
        <f t="shared" ref="G8:G15" si="0">C8*$D$2+D8*$E$2+E8*$F$2</f>
        <v>5.9494969755553156E-2</v>
      </c>
      <c r="H8" s="32">
        <f>C8*10^6*(D8*$D$3+E8*$E$3)</f>
        <v>8.4996088795029443E-4</v>
      </c>
      <c r="I8" s="32">
        <f>(C8*(D8+E8))</f>
        <v>2871.9880000000003</v>
      </c>
      <c r="J8" s="32"/>
      <c r="K8" s="32">
        <f>I8*$D$4</f>
        <v>6.1238997580701415E-4</v>
      </c>
      <c r="N8" t="s">
        <v>439</v>
      </c>
      <c r="P8" s="16">
        <v>20</v>
      </c>
      <c r="Q8">
        <f>P8*10^6*(D8*$D$3+E8*$E$3)</f>
        <v>1.1601185940767003E-3</v>
      </c>
      <c r="R8" s="45">
        <f>(P8*(D8+E8))*$D$4</f>
        <v>8.358561056534691E-4</v>
      </c>
    </row>
    <row r="9" spans="1:18" x14ac:dyDescent="0.4">
      <c r="B9" t="s">
        <v>358</v>
      </c>
      <c r="C9" s="16">
        <f>DDP_Datasheet_16bit!$R$5</f>
        <v>14.653</v>
      </c>
      <c r="D9" s="16">
        <f>DDP_Datasheet_16bit!E6+DDP_Datasheet_16bit!E16</f>
        <v>780</v>
      </c>
      <c r="E9" s="16">
        <f>DDP_Datasheet_16bit!F6+DDP_Datasheet_16bit!F16</f>
        <v>1326</v>
      </c>
      <c r="G9" s="32">
        <f t="shared" si="0"/>
        <v>8.0045586026601029E-2</v>
      </c>
      <c r="H9" s="32">
        <f>C9*10^6*(D9*$D$3+E9*$E$3)</f>
        <v>1.1172946073078253E-2</v>
      </c>
      <c r="I9" s="32">
        <f t="shared" ref="I9:I15" si="1">(C9*(D9+E9))</f>
        <v>30859.218000000001</v>
      </c>
      <c r="J9" s="32"/>
      <c r="K9" s="32">
        <f t="shared" ref="K9:K12" si="2">I9*$D$4</f>
        <v>6.5800678012733257E-3</v>
      </c>
      <c r="N9" t="s">
        <v>440</v>
      </c>
      <c r="P9" s="16">
        <v>20</v>
      </c>
      <c r="Q9" s="16">
        <f t="shared" ref="Q9:Q15" si="3">P9*10^6*(D9*$D$3+E9*$E$3)</f>
        <v>1.525004582417014E-2</v>
      </c>
      <c r="R9" s="45">
        <f t="shared" ref="R9:R15" si="4">(P9*(D9+E9))*$D$4</f>
        <v>8.9811885638071721E-3</v>
      </c>
    </row>
    <row r="10" spans="1:18" x14ac:dyDescent="0.4">
      <c r="B10" t="s">
        <v>359</v>
      </c>
      <c r="C10" s="16">
        <f>DDP_Datasheet_16bit!$R$5</f>
        <v>14.653</v>
      </c>
      <c r="D10" s="16">
        <f>DDP_Datasheet_16bit!E7+DDP_Datasheet_16bit!E17</f>
        <v>130</v>
      </c>
      <c r="E10" s="16">
        <f>DDP_Datasheet_16bit!F7+DDP_Datasheet_16bit!F17</f>
        <v>39</v>
      </c>
      <c r="G10" s="32">
        <f t="shared" si="0"/>
        <v>5.9053125899627183E-2</v>
      </c>
      <c r="H10" s="32">
        <f t="shared" ref="H9:H15" si="5">C10*10^6*(D10*$D$3+E10*$E$3)</f>
        <v>6.266138629148324E-4</v>
      </c>
      <c r="I10" s="32">
        <f t="shared" si="1"/>
        <v>2476.357</v>
      </c>
      <c r="J10" s="32"/>
      <c r="K10" s="32">
        <f t="shared" si="2"/>
        <v>5.280301322009458E-4</v>
      </c>
      <c r="N10" s="16" t="s">
        <v>359</v>
      </c>
      <c r="P10" s="16">
        <v>20</v>
      </c>
      <c r="Q10" s="16">
        <f t="shared" si="3"/>
        <v>8.5527040594394652E-4</v>
      </c>
      <c r="R10" s="45">
        <f t="shared" si="4"/>
        <v>7.207126625277361E-4</v>
      </c>
    </row>
    <row r="11" spans="1:18" x14ac:dyDescent="0.4">
      <c r="B11" t="s">
        <v>360</v>
      </c>
      <c r="C11" s="16">
        <f>DDP_Datasheet_16bit!$R$8</f>
        <v>12.27722</v>
      </c>
      <c r="D11" s="16">
        <f>DDP_Datasheet_16bit!E8+DDP_Datasheet_16bit!E18</f>
        <v>36</v>
      </c>
      <c r="E11" s="16">
        <f>DDP_Datasheet_16bit!F8+DDP_Datasheet_16bit!F18</f>
        <v>52</v>
      </c>
      <c r="G11" s="32">
        <f t="shared" si="0"/>
        <v>4.9327705163329523E-2</v>
      </c>
      <c r="H11" s="32">
        <f t="shared" si="5"/>
        <v>3.7973532210462235E-4</v>
      </c>
      <c r="I11" s="32">
        <f t="shared" si="1"/>
        <v>1080.39536</v>
      </c>
      <c r="J11" s="32"/>
      <c r="K11" s="32">
        <f t="shared" si="2"/>
        <v>2.3037118831012188E-4</v>
      </c>
      <c r="N11" s="16" t="s">
        <v>360</v>
      </c>
      <c r="P11" s="16">
        <v>20</v>
      </c>
      <c r="Q11" s="16">
        <f t="shared" si="3"/>
        <v>6.1860147835523409E-4</v>
      </c>
      <c r="R11" s="45">
        <f t="shared" si="4"/>
        <v>3.7528233315053716E-4</v>
      </c>
    </row>
    <row r="12" spans="1:18" x14ac:dyDescent="0.4">
      <c r="B12" t="s">
        <v>361</v>
      </c>
      <c r="C12" s="16">
        <f>DDP_Datasheet_16bit!$R$8</f>
        <v>12.27722</v>
      </c>
      <c r="D12" s="16">
        <f>DDP_Datasheet_16bit!E9+DDP_Datasheet_16bit!E19</f>
        <v>686</v>
      </c>
      <c r="E12" s="16">
        <f>DDP_Datasheet_16bit!F9+DDP_Datasheet_16bit!F19</f>
        <v>63</v>
      </c>
      <c r="G12" s="32">
        <f t="shared" si="0"/>
        <v>5.3138987464594015E-2</v>
      </c>
      <c r="H12" s="32">
        <f t="shared" si="5"/>
        <v>1.9582274547397097E-3</v>
      </c>
      <c r="I12" s="32">
        <f t="shared" si="1"/>
        <v>9195.6377799999991</v>
      </c>
      <c r="J12" s="32"/>
      <c r="K12" s="32">
        <f t="shared" si="2"/>
        <v>1.9607729550486508E-3</v>
      </c>
      <c r="N12" s="16" t="s">
        <v>361</v>
      </c>
      <c r="P12" s="16">
        <v>20</v>
      </c>
      <c r="Q12" s="16">
        <f t="shared" si="3"/>
        <v>3.1900176990225957E-3</v>
      </c>
      <c r="R12" s="45">
        <f t="shared" si="4"/>
        <v>3.1941644037471852E-3</v>
      </c>
    </row>
    <row r="13" spans="1:18" x14ac:dyDescent="0.4">
      <c r="B13" t="s">
        <v>362</v>
      </c>
      <c r="C13" s="16">
        <f>DDP_Datasheet_16bit!$R$8</f>
        <v>12.27722</v>
      </c>
      <c r="D13" s="16">
        <f>DDP_Datasheet_16bit!E10+DDP_Datasheet_16bit!E20</f>
        <v>105</v>
      </c>
      <c r="E13" s="16">
        <f>DDP_Datasheet_16bit!F10+DDP_Datasheet_16bit!F20</f>
        <v>41</v>
      </c>
      <c r="F13">
        <f>C13*10^6*E13*E3</f>
        <v>2.3320835667341627E-4</v>
      </c>
      <c r="G13" s="32">
        <f t="shared" si="0"/>
        <v>4.9568451007926818E-2</v>
      </c>
      <c r="H13" s="32">
        <f t="shared" si="5"/>
        <v>4.780883934102364E-4</v>
      </c>
      <c r="I13" s="32">
        <f t="shared" si="1"/>
        <v>1792.4741199999999</v>
      </c>
      <c r="J13" s="32">
        <f>(C13*(E13))</f>
        <v>503.36601999999999</v>
      </c>
      <c r="K13" s="32">
        <f>J13*$D$4</f>
        <v>1.0733203091721587E-4</v>
      </c>
      <c r="N13" s="16" t="s">
        <v>362</v>
      </c>
      <c r="P13" s="16">
        <v>20</v>
      </c>
      <c r="Q13" s="16">
        <f t="shared" si="3"/>
        <v>7.7882190497561567E-4</v>
      </c>
      <c r="R13" s="45">
        <f t="shared" si="4"/>
        <v>6.226275072724821E-4</v>
      </c>
    </row>
    <row r="14" spans="1:18" x14ac:dyDescent="0.4">
      <c r="B14" t="s">
        <v>363</v>
      </c>
      <c r="C14" s="16">
        <f>DDP_Datasheet_16bit!$R$5</f>
        <v>14.653</v>
      </c>
      <c r="D14" s="16">
        <f>DDP_Datasheet_16bit!E11+DDP_Datasheet_16bit!E21</f>
        <v>75</v>
      </c>
      <c r="E14" s="16">
        <f>DDP_Datasheet_16bit!F11+DDP_Datasheet_16bit!F21</f>
        <v>48</v>
      </c>
      <c r="G14" s="32">
        <f t="shared" si="0"/>
        <v>5.8864349327360739E-2</v>
      </c>
      <c r="H14" s="32">
        <f t="shared" si="5"/>
        <v>5.3461990611160303E-4</v>
      </c>
      <c r="I14" s="32">
        <f t="shared" si="1"/>
        <v>1802.319</v>
      </c>
      <c r="J14" s="32"/>
      <c r="K14" s="32">
        <f>I14*$D$4</f>
        <v>3.8430595420542213E-4</v>
      </c>
      <c r="N14" s="16" t="s">
        <v>363</v>
      </c>
      <c r="P14" s="16">
        <v>20</v>
      </c>
      <c r="Q14" s="16">
        <f t="shared" si="3"/>
        <v>7.2970709903992764E-4</v>
      </c>
      <c r="R14" s="45">
        <f t="shared" si="4"/>
        <v>5.24542352017228E-4</v>
      </c>
    </row>
    <row r="15" spans="1:18" x14ac:dyDescent="0.4">
      <c r="B15" t="s">
        <v>364</v>
      </c>
      <c r="C15" s="16">
        <f>DDP_Datasheet_16bit!$R$5</f>
        <v>14.653</v>
      </c>
      <c r="D15" s="16">
        <f>DDP_Datasheet_16bit!E12+DDP_Datasheet_16bit!E22</f>
        <v>34</v>
      </c>
      <c r="E15" s="16">
        <f>DDP_Datasheet_16bit!F12+DDP_Datasheet_16bit!F22</f>
        <v>39</v>
      </c>
      <c r="G15" s="32">
        <f t="shared" si="0"/>
        <v>5.8512104060958574E-2</v>
      </c>
      <c r="H15" s="32">
        <f t="shared" si="5"/>
        <v>3.5939825150315644E-4</v>
      </c>
      <c r="I15" s="32">
        <f t="shared" si="1"/>
        <v>1069.6690000000001</v>
      </c>
      <c r="J15" s="32"/>
      <c r="K15" s="32">
        <f>I15*$D$4</f>
        <v>2.2808402160159202E-4</v>
      </c>
      <c r="N15" s="16" t="s">
        <v>364</v>
      </c>
      <c r="P15" s="16">
        <v>20</v>
      </c>
      <c r="Q15" s="16">
        <f t="shared" si="3"/>
        <v>4.9054562410858718E-4</v>
      </c>
      <c r="R15" s="45">
        <f t="shared" si="4"/>
        <v>3.1131375363624105E-4</v>
      </c>
    </row>
    <row r="16" spans="1:18" x14ac:dyDescent="0.4">
      <c r="B16" t="s">
        <v>405</v>
      </c>
      <c r="D16">
        <f>SUM(D8:D15)</f>
        <v>1966</v>
      </c>
      <c r="E16">
        <f>SUM(E8:E15)</f>
        <v>1684</v>
      </c>
      <c r="G16" s="33">
        <f>SUM(G8:G15)</f>
        <v>0.46800527870595104</v>
      </c>
      <c r="H16" s="33">
        <f>SUM(H8:H15)</f>
        <v>1.6359590151812708E-2</v>
      </c>
      <c r="I16" s="32"/>
      <c r="J16" s="32"/>
      <c r="K16" s="33">
        <f>SUM(K8:K15)</f>
        <v>1.063135405936429E-2</v>
      </c>
      <c r="N16" s="16" t="s">
        <v>405</v>
      </c>
      <c r="Q16">
        <f>SUM(Q8:Q15)</f>
        <v>2.3073128629692748E-2</v>
      </c>
      <c r="R16" s="16">
        <f>SUM(R8:R15)</f>
        <v>1.5565687681812049E-2</v>
      </c>
    </row>
    <row r="17" spans="1:18" x14ac:dyDescent="0.4">
      <c r="B17" t="s">
        <v>419</v>
      </c>
      <c r="G17" s="32">
        <f>G16*4</f>
        <v>1.8720211148238042</v>
      </c>
      <c r="H17" s="44">
        <f>H16*4</f>
        <v>6.5438360607250834E-2</v>
      </c>
      <c r="I17" s="32"/>
      <c r="J17" s="32"/>
      <c r="K17" s="32">
        <f>K16*4</f>
        <v>4.2525416237457161E-2</v>
      </c>
      <c r="N17" s="16" t="s">
        <v>419</v>
      </c>
      <c r="Q17">
        <f>Q16*4</f>
        <v>9.2292514518770991E-2</v>
      </c>
      <c r="R17" s="16">
        <f>R16*4</f>
        <v>6.2262750727248198E-2</v>
      </c>
    </row>
    <row r="18" spans="1:18" x14ac:dyDescent="0.4">
      <c r="B18" t="s">
        <v>413</v>
      </c>
      <c r="G18" s="34">
        <f>G17+G2</f>
        <v>3.2252121943512284</v>
      </c>
      <c r="H18" s="43">
        <f>H17+G3+1.49</f>
        <v>1.5554383599067019</v>
      </c>
      <c r="I18" s="32"/>
      <c r="J18" s="32"/>
      <c r="K18" s="34">
        <f>G4+K17</f>
        <v>1.5234654026358037</v>
      </c>
      <c r="L18" s="30"/>
      <c r="N18" s="16" t="s">
        <v>413</v>
      </c>
      <c r="Q18" s="44">
        <f>Q$17+$G$3+1.49</f>
        <v>1.582292513818222</v>
      </c>
      <c r="R18" s="44">
        <f>R$17+$G$4</f>
        <v>1.5432027371255947</v>
      </c>
    </row>
    <row r="19" spans="1:18" x14ac:dyDescent="0.4">
      <c r="B19" t="s">
        <v>472</v>
      </c>
      <c r="G19" s="32">
        <f>L7-G18</f>
        <v>-1.7194218717705834</v>
      </c>
      <c r="H19" s="32">
        <f>L7-H18</f>
        <v>-4.9648037326056826E-2</v>
      </c>
      <c r="I19" s="32"/>
      <c r="J19" s="32"/>
      <c r="K19" s="32">
        <f>L7-K18</f>
        <v>-1.767508005515861E-2</v>
      </c>
      <c r="N19" s="16" t="s">
        <v>473</v>
      </c>
      <c r="Q19" s="46">
        <f>O7-Q18</f>
        <v>7.7558732785514284E-3</v>
      </c>
      <c r="R19" s="46">
        <f>O7-R18</f>
        <v>4.6845649971178682E-2</v>
      </c>
    </row>
    <row r="20" spans="1:18" x14ac:dyDescent="0.4">
      <c r="B20" t="s">
        <v>423</v>
      </c>
      <c r="G20" s="32">
        <f>(G18-$L$7)/L7*100</f>
        <v>114.18733710705575</v>
      </c>
      <c r="H20" s="32">
        <f>(H18-$L$7)/$L$7*100</f>
        <v>3.2971414798953753</v>
      </c>
      <c r="I20" s="32"/>
      <c r="J20" s="32"/>
      <c r="K20" s="32">
        <f>(K18-$L$7)/$L$7*100</f>
        <v>1.1738075208815795</v>
      </c>
      <c r="N20" s="16" t="s">
        <v>423</v>
      </c>
      <c r="Q20">
        <f>(Q18-O7)/O7*100</f>
        <v>-0.48777592817239157</v>
      </c>
      <c r="R20" s="16">
        <f>(R18-O7)/O7*100</f>
        <v>-2.9461776353053568</v>
      </c>
    </row>
    <row r="21" spans="1:18" x14ac:dyDescent="0.4">
      <c r="G21" s="32"/>
      <c r="H21" s="32"/>
      <c r="I21" s="32"/>
      <c r="J21" s="32"/>
      <c r="K21" s="32"/>
    </row>
    <row r="22" spans="1:18" x14ac:dyDescent="0.4">
      <c r="G22" s="32"/>
      <c r="H22" s="32"/>
      <c r="I22" s="32"/>
      <c r="J22" s="32"/>
      <c r="K22" s="32"/>
    </row>
    <row r="23" spans="1:18" x14ac:dyDescent="0.4">
      <c r="G23" s="32"/>
      <c r="H23" s="32"/>
      <c r="I23" s="32"/>
      <c r="J23" s="32"/>
      <c r="K23" s="32"/>
    </row>
    <row r="24" spans="1:18" x14ac:dyDescent="0.4">
      <c r="G24" s="32"/>
      <c r="H24" s="32"/>
      <c r="I24" s="32"/>
      <c r="J24" s="32"/>
      <c r="K24" s="32"/>
    </row>
    <row r="25" spans="1:18" x14ac:dyDescent="0.4">
      <c r="C25" s="16" t="s">
        <v>410</v>
      </c>
      <c r="D25" s="16" t="s">
        <v>44</v>
      </c>
      <c r="E25" s="16" t="s">
        <v>189</v>
      </c>
      <c r="F25" s="16" t="s">
        <v>403</v>
      </c>
      <c r="G25" s="16" t="s">
        <v>464</v>
      </c>
      <c r="H25" s="16" t="s">
        <v>465</v>
      </c>
      <c r="I25" s="16" t="s">
        <v>466</v>
      </c>
      <c r="J25" s="16" t="s">
        <v>467</v>
      </c>
      <c r="K25" s="16" t="s">
        <v>474</v>
      </c>
      <c r="L25" s="16" t="s">
        <v>186</v>
      </c>
      <c r="N25" s="16" t="s">
        <v>470</v>
      </c>
      <c r="O25" s="16" t="s">
        <v>471</v>
      </c>
      <c r="P25" s="16" t="s">
        <v>441</v>
      </c>
      <c r="Q25" s="16" t="s">
        <v>461</v>
      </c>
      <c r="R25" s="16" t="s">
        <v>462</v>
      </c>
    </row>
    <row r="26" spans="1:18" x14ac:dyDescent="0.4">
      <c r="A26" s="16" t="s">
        <v>422</v>
      </c>
      <c r="B26" s="16" t="s">
        <v>404</v>
      </c>
      <c r="C26" s="16">
        <f>DDP_Datasheet_16bit!$R$5</f>
        <v>14.653</v>
      </c>
      <c r="D26">
        <f>DDP_Datasheet_32bit!E4+DDP_Datasheet_32bit!E15</f>
        <v>2846</v>
      </c>
      <c r="E26" s="16">
        <f>DDP_Datasheet_32bit!F4</f>
        <v>1914</v>
      </c>
      <c r="F26">
        <f>DDP_Datasheet_32bit!D167</f>
        <v>1.469338709677418</v>
      </c>
      <c r="G26" s="32">
        <f>C26*$D$2+D26*$E$2+E26*$F$2</f>
        <v>9.9606172113928387E-2</v>
      </c>
      <c r="H26" s="32"/>
      <c r="I26" s="32">
        <f>C26*(D26+E26)</f>
        <v>69748.28</v>
      </c>
      <c r="J26" s="32"/>
      <c r="K26" s="32"/>
      <c r="L26">
        <f>DDP_Datasheet_32bit!C167</f>
        <v>1.5187580645161289</v>
      </c>
      <c r="N26" s="16" t="s">
        <v>438</v>
      </c>
      <c r="O26" s="16">
        <f>DDP_Datasheet_32bit!G167</f>
        <v>1.6144354838709678</v>
      </c>
      <c r="P26" s="16">
        <v>20</v>
      </c>
      <c r="Q26" s="16"/>
      <c r="R26" s="16"/>
    </row>
    <row r="27" spans="1:18" x14ac:dyDescent="0.4">
      <c r="A27" s="16"/>
      <c r="B27" s="16" t="s">
        <v>357</v>
      </c>
      <c r="C27" s="16">
        <f>DDP_Datasheet_16bit!$R$5</f>
        <v>14.653</v>
      </c>
      <c r="D27" s="16">
        <f>DDP_Datasheet_32bit!E5+DDP_Datasheet_32bit!E15</f>
        <v>133</v>
      </c>
      <c r="E27" s="16">
        <f>DDP_Datasheet_32bit!F5+DDP_Datasheet_32bit!F15</f>
        <v>108</v>
      </c>
      <c r="G27" s="32">
        <f t="shared" ref="G27:G34" si="6">C27*$D$2+D27*$E$2+E27*$F$2</f>
        <v>5.9999109062472689E-2</v>
      </c>
      <c r="H27" s="32">
        <f>C27*10^6*(D27*$D$3+E27*$E$3)</f>
        <v>1.1033848084597796E-3</v>
      </c>
      <c r="I27" s="32">
        <f t="shared" ref="I27:I34" si="7">C27*(D27+E27)</f>
        <v>3531.373</v>
      </c>
      <c r="J27" s="32"/>
      <c r="K27" s="32">
        <f t="shared" ref="K27:K34" si="8">$D$4*I27</f>
        <v>7.5298971515046123E-4</v>
      </c>
      <c r="N27" s="16" t="s">
        <v>439</v>
      </c>
      <c r="O27" s="16"/>
      <c r="P27" s="16">
        <v>20</v>
      </c>
      <c r="Q27" s="16">
        <f>P27*10^6*(D27*$D$3+E27*$E$3)</f>
        <v>1.5060189837709406E-3</v>
      </c>
      <c r="R27" s="45">
        <f>(P27*(D27+E27))*$D$4</f>
        <v>1.0277618441963574E-3</v>
      </c>
    </row>
    <row r="28" spans="1:18" x14ac:dyDescent="0.4">
      <c r="A28" s="16"/>
      <c r="B28" s="16" t="s">
        <v>358</v>
      </c>
      <c r="C28" s="16">
        <f>DDP_Datasheet_16bit!$R$5</f>
        <v>14.653</v>
      </c>
      <c r="D28" s="16">
        <f>DDP_Datasheet_32bit!E6+DDP_Datasheet_32bit!E16</f>
        <v>777</v>
      </c>
      <c r="E28" s="16">
        <f>DDP_Datasheet_32bit!F6+DDP_Datasheet_32bit!F16</f>
        <v>1342</v>
      </c>
      <c r="G28" s="32">
        <f t="shared" si="6"/>
        <v>8.0244117060609202E-2</v>
      </c>
      <c r="H28" s="32">
        <f t="shared" ref="H28:H34" si="9">C28*10^6*(D28*$D$3+E28*$E$3)</f>
        <v>1.1273214821787048E-2</v>
      </c>
      <c r="I28" s="32">
        <f t="shared" si="7"/>
        <v>31049.707000000002</v>
      </c>
      <c r="J28" s="32"/>
      <c r="K28" s="32">
        <f t="shared" si="8"/>
        <v>6.6206855037503213E-3</v>
      </c>
      <c r="N28" s="16" t="s">
        <v>440</v>
      </c>
      <c r="O28" s="16"/>
      <c r="P28" s="16">
        <v>20</v>
      </c>
      <c r="Q28" s="16">
        <f t="shared" ref="Q28:Q34" si="10">P28*10^6*(D28*$D$3+E28*$E$3)</f>
        <v>1.5386903462481468E-2</v>
      </c>
      <c r="R28" s="45">
        <f t="shared" ref="R28:R34" si="11">(P28*(D28+E28))*$D$4</f>
        <v>9.0366279993862302E-3</v>
      </c>
    </row>
    <row r="29" spans="1:18" x14ac:dyDescent="0.4">
      <c r="A29" s="16"/>
      <c r="B29" s="16" t="s">
        <v>359</v>
      </c>
      <c r="C29" s="16">
        <f>DDP_Datasheet_16bit!$R$5</f>
        <v>14.653</v>
      </c>
      <c r="D29" s="16">
        <f>DDP_Datasheet_32bit!E7+DDP_Datasheet_32bit!E17</f>
        <v>191</v>
      </c>
      <c r="E29" s="16">
        <f>DDP_Datasheet_32bit!F7+DDP_Datasheet_32bit!F17</f>
        <v>55</v>
      </c>
      <c r="G29" s="32">
        <f t="shared" si="6"/>
        <v>5.9612338159414448E-2</v>
      </c>
      <c r="H29" s="32">
        <f t="shared" si="9"/>
        <v>9.0502635256474527E-4</v>
      </c>
      <c r="I29" s="32">
        <f t="shared" si="7"/>
        <v>3604.6379999999999</v>
      </c>
      <c r="J29" s="32"/>
      <c r="K29" s="32">
        <f t="shared" si="8"/>
        <v>7.6861190841084426E-4</v>
      </c>
      <c r="N29" s="16" t="s">
        <v>359</v>
      </c>
      <c r="O29" s="16"/>
      <c r="P29" s="16">
        <v>20</v>
      </c>
      <c r="Q29" s="16">
        <f t="shared" si="10"/>
        <v>1.2352778988121821E-3</v>
      </c>
      <c r="R29" s="45">
        <f t="shared" si="11"/>
        <v>1.049084704034456E-3</v>
      </c>
    </row>
    <row r="30" spans="1:18" x14ac:dyDescent="0.4">
      <c r="A30" s="16"/>
      <c r="B30" s="16" t="s">
        <v>360</v>
      </c>
      <c r="C30" s="16">
        <f>DDP_Datasheet_16bit!$R$8</f>
        <v>12.27722</v>
      </c>
      <c r="D30" s="16">
        <f>DDP_Datasheet_32bit!E8+DDP_Datasheet_32bit!E18</f>
        <v>36</v>
      </c>
      <c r="E30" s="16">
        <f>DDP_Datasheet_32bit!F8+DDP_Datasheet_32bit!F18</f>
        <v>84</v>
      </c>
      <c r="G30" s="32">
        <f t="shared" si="6"/>
        <v>4.9758581096262668E-2</v>
      </c>
      <c r="H30" s="32">
        <f t="shared" si="9"/>
        <v>5.6175160048387409E-4</v>
      </c>
      <c r="I30" s="32">
        <f t="shared" si="7"/>
        <v>1473.2664</v>
      </c>
      <c r="J30" s="32"/>
      <c r="K30" s="32">
        <f t="shared" si="8"/>
        <v>3.1414252951380254E-4</v>
      </c>
      <c r="N30" s="16" t="s">
        <v>360</v>
      </c>
      <c r="O30" s="16"/>
      <c r="P30" s="16">
        <v>20</v>
      </c>
      <c r="Q30" s="16">
        <f t="shared" si="10"/>
        <v>9.1511205384260295E-4</v>
      </c>
      <c r="R30" s="45">
        <f t="shared" si="11"/>
        <v>5.1174863611436877E-4</v>
      </c>
    </row>
    <row r="31" spans="1:18" x14ac:dyDescent="0.4">
      <c r="A31" s="16"/>
      <c r="B31" s="16" t="s">
        <v>361</v>
      </c>
      <c r="C31" s="16">
        <f>DDP_Datasheet_16bit!$R$8</f>
        <v>12.27722</v>
      </c>
      <c r="D31" s="16">
        <f>DDP_Datasheet_32bit!E9+DDP_Datasheet_32bit!E19</f>
        <v>1375</v>
      </c>
      <c r="E31" s="16">
        <f>DDP_Datasheet_32bit!F9+DDP_Datasheet_32bit!F19</f>
        <v>95</v>
      </c>
      <c r="G31" s="32">
        <f t="shared" si="6"/>
        <v>5.7452822218805016E-2</v>
      </c>
      <c r="H31" s="32">
        <f t="shared" si="9"/>
        <v>3.7471232122777143E-3</v>
      </c>
      <c r="I31" s="32">
        <f t="shared" si="7"/>
        <v>18047.5134</v>
      </c>
      <c r="J31" s="32"/>
      <c r="K31" s="32">
        <f t="shared" si="8"/>
        <v>3.8482459865440814E-3</v>
      </c>
      <c r="N31" s="16" t="s">
        <v>361</v>
      </c>
      <c r="O31" s="16"/>
      <c r="P31" s="16">
        <v>20</v>
      </c>
      <c r="Q31" s="16">
        <f t="shared" si="10"/>
        <v>6.1041884274741585E-3</v>
      </c>
      <c r="R31" s="45">
        <f t="shared" si="11"/>
        <v>6.2689207924010179E-3</v>
      </c>
    </row>
    <row r="32" spans="1:18" x14ac:dyDescent="0.4">
      <c r="A32" s="16"/>
      <c r="B32" s="16" t="s">
        <v>362</v>
      </c>
      <c r="C32" s="16">
        <f>DDP_Datasheet_16bit!$R$8</f>
        <v>12.27722</v>
      </c>
      <c r="D32" s="16">
        <f>DDP_Datasheet_32bit!E10+DDP_Datasheet_32bit!E20</f>
        <v>125</v>
      </c>
      <c r="E32" s="16">
        <f>DDP_Datasheet_32bit!F10+DDP_Datasheet_32bit!F20</f>
        <v>57</v>
      </c>
      <c r="F32">
        <f>C32*10^6*E32*E3</f>
        <v>3.2421649586304214E-4</v>
      </c>
      <c r="G32" s="32">
        <f t="shared" si="6"/>
        <v>4.9896601857449353E-2</v>
      </c>
      <c r="H32" s="32">
        <f t="shared" si="9"/>
        <v>6.1574034912116127E-4</v>
      </c>
      <c r="I32" s="32">
        <f t="shared" si="7"/>
        <v>2234.4540400000001</v>
      </c>
      <c r="J32" s="32">
        <f>C32*E32</f>
        <v>699.80153999999993</v>
      </c>
      <c r="K32" s="32">
        <f>$D$4*J32</f>
        <v>1.4921770151905619E-4</v>
      </c>
      <c r="N32" s="16" t="s">
        <v>362</v>
      </c>
      <c r="O32" s="16"/>
      <c r="P32" s="16">
        <v>20</v>
      </c>
      <c r="Q32" s="16">
        <f t="shared" si="10"/>
        <v>1.0030615222683332E-3</v>
      </c>
      <c r="R32" s="45">
        <f t="shared" si="11"/>
        <v>7.7615209810679277E-4</v>
      </c>
    </row>
    <row r="33" spans="1:18" x14ac:dyDescent="0.4">
      <c r="A33" s="16"/>
      <c r="B33" s="16" t="s">
        <v>363</v>
      </c>
      <c r="C33" s="16">
        <f>DDP_Datasheet_16bit!$R$5</f>
        <v>14.653</v>
      </c>
      <c r="D33" s="16">
        <f>DDP_Datasheet_32bit!E11+DDP_Datasheet_32bit!E21</f>
        <v>69</v>
      </c>
      <c r="E33" s="16">
        <f>DDP_Datasheet_32bit!F11+DDP_Datasheet_32bit!F21</f>
        <v>64</v>
      </c>
      <c r="G33" s="32">
        <f t="shared" si="6"/>
        <v>5.9045973428910527E-2</v>
      </c>
      <c r="H33" s="32">
        <f>C33*10^6*(D33*$D$3+E33*$E$3)</f>
        <v>6.2653816696378367E-4</v>
      </c>
      <c r="I33" s="32">
        <f t="shared" si="7"/>
        <v>1948.8490000000002</v>
      </c>
      <c r="J33" s="32"/>
      <c r="K33" s="32">
        <f t="shared" si="8"/>
        <v>4.1555034072618819E-4</v>
      </c>
      <c r="N33" s="16" t="s">
        <v>363</v>
      </c>
      <c r="O33" s="16"/>
      <c r="P33" s="16">
        <v>20</v>
      </c>
      <c r="Q33" s="16">
        <f t="shared" si="10"/>
        <v>8.5516708791890208E-4</v>
      </c>
      <c r="R33" s="45">
        <f t="shared" si="11"/>
        <v>5.6718807169342544E-4</v>
      </c>
    </row>
    <row r="34" spans="1:18" x14ac:dyDescent="0.4">
      <c r="A34" s="16"/>
      <c r="B34" s="16" t="s">
        <v>364</v>
      </c>
      <c r="C34" s="16">
        <f>DDP_Datasheet_16bit!$R$5</f>
        <v>14.653</v>
      </c>
      <c r="D34" s="16">
        <f>DDP_Datasheet_32bit!E12+DDP_Datasheet_32bit!E22</f>
        <v>35</v>
      </c>
      <c r="E34" s="16">
        <f>DDP_Datasheet_32bit!F12+DDP_Datasheet_32bit!F22</f>
        <v>55</v>
      </c>
      <c r="G34" s="32">
        <f t="shared" si="6"/>
        <v>5.873317767157795E-2</v>
      </c>
      <c r="H34" s="32">
        <f>C34*10^6*(D34*$D$3+E34*$E$3)</f>
        <v>4.7080098402077172E-4</v>
      </c>
      <c r="I34" s="32">
        <f t="shared" si="7"/>
        <v>1318.77</v>
      </c>
      <c r="J34" s="32"/>
      <c r="K34" s="32">
        <f t="shared" si="8"/>
        <v>2.8119947868689426E-4</v>
      </c>
      <c r="N34" s="16" t="s">
        <v>364</v>
      </c>
      <c r="O34" s="16"/>
      <c r="P34" s="16">
        <v>20</v>
      </c>
      <c r="Q34" s="16">
        <f t="shared" si="10"/>
        <v>6.4260012832972327E-4</v>
      </c>
      <c r="R34" s="45">
        <f t="shared" si="11"/>
        <v>3.8381147708577661E-4</v>
      </c>
    </row>
    <row r="35" spans="1:18" x14ac:dyDescent="0.4">
      <c r="A35" s="16"/>
      <c r="B35" s="16" t="s">
        <v>405</v>
      </c>
      <c r="G35" s="32">
        <f>SUM(G27:G34)</f>
        <v>0.47474272055550187</v>
      </c>
      <c r="H35" s="32">
        <f>SUM(H27:H34)</f>
        <v>1.9303580295678874E-2</v>
      </c>
      <c r="I35" s="32"/>
      <c r="J35" s="32"/>
      <c r="K35" s="32">
        <f>SUM(K27:K34)</f>
        <v>1.3150643164301649E-2</v>
      </c>
      <c r="N35" s="16" t="s">
        <v>405</v>
      </c>
      <c r="O35" s="16"/>
      <c r="P35" s="16"/>
      <c r="Q35" s="16">
        <f>SUM(Q27:Q34)</f>
        <v>2.7648329564898304E-2</v>
      </c>
      <c r="R35" s="16">
        <f>SUM(R27:R34)</f>
        <v>1.9621295623018422E-2</v>
      </c>
    </row>
    <row r="36" spans="1:18" x14ac:dyDescent="0.4">
      <c r="A36" s="16"/>
      <c r="B36" s="16" t="s">
        <v>419</v>
      </c>
      <c r="G36" s="32">
        <f t="shared" ref="G36" si="12">G35*4</f>
        <v>1.8989708822220075</v>
      </c>
      <c r="H36" s="32">
        <f>H35*4</f>
        <v>7.7214321182715498E-2</v>
      </c>
      <c r="I36" s="32"/>
      <c r="J36" s="32"/>
      <c r="K36" s="32">
        <f>K35*4</f>
        <v>5.2602572657206595E-2</v>
      </c>
      <c r="N36" s="16" t="s">
        <v>419</v>
      </c>
      <c r="O36" s="16"/>
      <c r="P36" s="16"/>
      <c r="Q36" s="16">
        <f>Q35*4</f>
        <v>0.11059331825959322</v>
      </c>
      <c r="R36" s="16">
        <f>R35*4</f>
        <v>7.8485182492073688E-2</v>
      </c>
    </row>
    <row r="37" spans="1:18" x14ac:dyDescent="0.4">
      <c r="A37" s="16"/>
      <c r="B37" s="16" t="s">
        <v>413</v>
      </c>
      <c r="G37" s="32">
        <f>G36+G2</f>
        <v>3.2521619617494317</v>
      </c>
      <c r="H37" s="32">
        <f>H36+G3+1.49</f>
        <v>1.5672143204821667</v>
      </c>
      <c r="I37" s="32"/>
      <c r="J37" s="32"/>
      <c r="K37" s="32">
        <f>K36+G4</f>
        <v>1.5335425590555531</v>
      </c>
      <c r="N37" s="16" t="s">
        <v>413</v>
      </c>
      <c r="O37" s="16"/>
      <c r="P37" s="16"/>
      <c r="Q37" s="44">
        <f>Q$36+$G$3+1.49</f>
        <v>1.6005933175590443</v>
      </c>
      <c r="R37" s="44">
        <f>R36+$G$4</f>
        <v>1.5594251688904202</v>
      </c>
    </row>
    <row r="38" spans="1:18" x14ac:dyDescent="0.4">
      <c r="A38" s="16"/>
      <c r="B38" s="16" t="s">
        <v>473</v>
      </c>
      <c r="G38" s="32">
        <f>L26-G37</f>
        <v>-1.7334038972333028</v>
      </c>
      <c r="H38" s="32">
        <f>L26-H37</f>
        <v>-4.8456255966037753E-2</v>
      </c>
      <c r="I38" s="32"/>
      <c r="J38" s="32"/>
      <c r="K38" s="32">
        <f>L26-K37</f>
        <v>-1.4784494539424209E-2</v>
      </c>
      <c r="N38" s="16" t="s">
        <v>472</v>
      </c>
      <c r="O38" s="16"/>
      <c r="P38" s="16"/>
      <c r="Q38" s="46">
        <f>O26-Q37</f>
        <v>1.3842166311923476E-2</v>
      </c>
      <c r="R38" s="46">
        <f>O26-R37</f>
        <v>5.5010314980547648E-2</v>
      </c>
    </row>
    <row r="39" spans="1:18" x14ac:dyDescent="0.4">
      <c r="B39" t="s">
        <v>423</v>
      </c>
      <c r="G39" s="32">
        <f>(G37-L26)/L26*100</f>
        <v>114.13298389862767</v>
      </c>
      <c r="H39" s="32">
        <f>(H37-$L$26)/$L$26*100</f>
        <v>3.1905184306939463</v>
      </c>
      <c r="I39" s="32"/>
      <c r="J39" s="32"/>
      <c r="K39" s="36">
        <f>(K37-$L$26)/$L$26*100</f>
        <v>0.97345949199186632</v>
      </c>
      <c r="N39" s="16" t="s">
        <v>423</v>
      </c>
      <c r="O39" s="16"/>
      <c r="P39" s="16"/>
      <c r="Q39" s="16">
        <f>(Q37-O26)/O26*100</f>
        <v>-0.85739978154678598</v>
      </c>
      <c r="R39" s="16">
        <f>(R37-O26)/O26*100</f>
        <v>-3.4074024964223528</v>
      </c>
    </row>
    <row r="40" spans="1:18" x14ac:dyDescent="0.4">
      <c r="I40" s="16"/>
      <c r="J40" s="16"/>
      <c r="K40" s="16"/>
    </row>
    <row r="41" spans="1:18" x14ac:dyDescent="0.4">
      <c r="I41" s="16"/>
      <c r="J41" s="16"/>
      <c r="K41" s="16"/>
    </row>
  </sheetData>
  <phoneticPr fontId="1"/>
  <pageMargins left="0.7" right="0.7" top="0.75" bottom="0.75" header="0.3" footer="0.3"/>
  <pageSetup paperSize="9" orientation="portrait" verticalDpi="300" r:id="rId1"/>
  <ignoredErrors>
    <ignoredError sqref="K32 K1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5448ca6-9935-4ce6-aabb-aa27e8dd9b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EAF34B3F3DA2D40A5F355228D7B82EA" ma:contentTypeVersion="5" ma:contentTypeDescription="新しいドキュメントを作成します。" ma:contentTypeScope="" ma:versionID="a8ced008abd5ae0b92756f0e649565fb">
  <xsd:schema xmlns:xsd="http://www.w3.org/2001/XMLSchema" xmlns:xs="http://www.w3.org/2001/XMLSchema" xmlns:p="http://schemas.microsoft.com/office/2006/metadata/properties" xmlns:ns3="d5448ca6-9935-4ce6-aabb-aa27e8dd9ba5" targetNamespace="http://schemas.microsoft.com/office/2006/metadata/properties" ma:root="true" ma:fieldsID="af57936f15bcab19370d0dbd46c4caec" ns3:_="">
    <xsd:import namespace="d5448ca6-9935-4ce6-aabb-aa27e8dd9ba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48ca6-9935-4ce6-aabb-aa27e8dd9b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F781DA-327D-4F6F-B288-CEF11CA526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96993B-1F35-4608-82A9-A144EF1C2559}">
  <ds:schemaRefs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d5448ca6-9935-4ce6-aabb-aa27e8dd9ba5"/>
  </ds:schemaRefs>
</ds:datastoreItem>
</file>

<file path=customXml/itemProps3.xml><?xml version="1.0" encoding="utf-8"?>
<ds:datastoreItem xmlns:ds="http://schemas.openxmlformats.org/officeDocument/2006/customXml" ds:itemID="{B8BF75E8-CD85-4FBC-9DA9-F2B3C131F7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448ca6-9935-4ce6-aabb-aa27e8dd9b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TEG_Syncronous_Pipeline_回路規模</vt:lpstr>
      <vt:lpstr>電力データ_0610までに取得分</vt:lpstr>
      <vt:lpstr>電力データ_0610以降_100N</vt:lpstr>
      <vt:lpstr>電力データ0610以降_300N</vt:lpstr>
      <vt:lpstr>Sync回路_検証用データ群</vt:lpstr>
      <vt:lpstr>Sync回路回帰分析</vt:lpstr>
      <vt:lpstr>電力データ_Async回路</vt:lpstr>
      <vt:lpstr>Async回路回帰分析_グラフ出力</vt:lpstr>
      <vt:lpstr>DDP_Datasheet_16bit</vt:lpstr>
      <vt:lpstr>DDP_Datasheet_32bit</vt:lpstr>
      <vt:lpstr>Power estimation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松坂拓海</dc:creator>
  <cp:keywords/>
  <dc:description/>
  <cp:lastModifiedBy>松坂拓海</cp:lastModifiedBy>
  <cp:revision/>
  <cp:lastPrinted>2024-08-05T07:53:13Z</cp:lastPrinted>
  <dcterms:created xsi:type="dcterms:W3CDTF">2024-05-22T23:58:36Z</dcterms:created>
  <dcterms:modified xsi:type="dcterms:W3CDTF">2025-03-10T05:25:16Z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0x010100AEAF34B3F3DA2D40A5F355228D7B82EA</vt:lpwstr>
  </property>
</Properties>
</file>