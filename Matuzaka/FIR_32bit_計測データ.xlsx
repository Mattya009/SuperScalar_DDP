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\4B_Research\Matuzaka\"/>
    </mc:Choice>
  </mc:AlternateContent>
  <xr:revisionPtr revIDLastSave="0" documentId="13_ncr:1_{A4FF5463-6141-4648-A707-49760E4E1D85}" xr6:coauthVersionLast="47" xr6:coauthVersionMax="47" xr10:uidLastSave="{00000000-0000-0000-0000-000000000000}"/>
  <bookViews>
    <workbookView xWindow="-25710" yWindow="2775" windowWidth="21600" windowHeight="11295" xr2:uid="{F1F53AA8-65ED-4A5B-ABDC-75B8EBF75338}"/>
  </bookViews>
  <sheets>
    <sheet name="命令セット" sheetId="1" r:id="rId1"/>
    <sheet name="計測データ_Tf+Fr" sheetId="2" r:id="rId2"/>
    <sheet name="パケットごとの計測結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3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" i="1"/>
</calcChain>
</file>

<file path=xl/sharedStrings.xml><?xml version="1.0" encoding="utf-8"?>
<sst xmlns="http://schemas.openxmlformats.org/spreadsheetml/2006/main" count="329" uniqueCount="117">
  <si>
    <t>係数</t>
    <rPh sb="0" eb="2">
      <t>ケイスウ</t>
    </rPh>
    <phoneticPr fontId="1"/>
  </si>
  <si>
    <t>レジスタ番号</t>
    <rPh sb="4" eb="6">
      <t>バンゴウ</t>
    </rPh>
    <phoneticPr fontId="1"/>
  </si>
  <si>
    <t>命令番号</t>
    <rPh sb="0" eb="2">
      <t>メイレイ</t>
    </rPh>
    <rPh sb="2" eb="4">
      <t>バンゴウ</t>
    </rPh>
    <phoneticPr fontId="1"/>
  </si>
  <si>
    <t>4C0,</t>
  </si>
  <si>
    <t>C87,</t>
  </si>
  <si>
    <t>14C0,</t>
  </si>
  <si>
    <t>1088,</t>
  </si>
  <si>
    <t>FC00,</t>
  </si>
  <si>
    <t>1C87,</t>
  </si>
  <si>
    <t>28C0,</t>
  </si>
  <si>
    <t>2088,</t>
  </si>
  <si>
    <t>2480,</t>
  </si>
  <si>
    <t>12AA,</t>
  </si>
  <si>
    <t>3087,</t>
  </si>
  <si>
    <t>3CC0,</t>
  </si>
  <si>
    <t>3488,</t>
  </si>
  <si>
    <t>3880,</t>
  </si>
  <si>
    <t>22AA,</t>
  </si>
  <si>
    <t>4487,</t>
  </si>
  <si>
    <t>50C0,</t>
  </si>
  <si>
    <t>4888,</t>
  </si>
  <si>
    <t>4C80,</t>
  </si>
  <si>
    <t>36AA,</t>
  </si>
  <si>
    <t>5887,</t>
  </si>
  <si>
    <t>64C0,</t>
  </si>
  <si>
    <t>5C88,</t>
  </si>
  <si>
    <t>6080,</t>
  </si>
  <si>
    <t>4AAA,</t>
  </si>
  <si>
    <t>6C87,</t>
  </si>
  <si>
    <t>78C0,</t>
  </si>
  <si>
    <t>7088,</t>
  </si>
  <si>
    <t>7480,</t>
  </si>
  <si>
    <t>5EAA,</t>
  </si>
  <si>
    <t>8087,</t>
  </si>
  <si>
    <t>8CC0,</t>
  </si>
  <si>
    <t>8488,</t>
  </si>
  <si>
    <t>8880,</t>
  </si>
  <si>
    <t>72AA,</t>
  </si>
  <si>
    <t>9487,</t>
  </si>
  <si>
    <t>A0C0,</t>
  </si>
  <si>
    <t>9888,</t>
  </si>
  <si>
    <t>9C80,</t>
  </si>
  <si>
    <t>86AA,</t>
  </si>
  <si>
    <t>A887,</t>
  </si>
  <si>
    <t>B4C0,</t>
  </si>
  <si>
    <t>AC88,</t>
  </si>
  <si>
    <t>B080,</t>
  </si>
  <si>
    <t>9AAA,</t>
  </si>
  <si>
    <t>BC87,</t>
  </si>
  <si>
    <t>C8C0,</t>
  </si>
  <si>
    <t>C088,</t>
  </si>
  <si>
    <t>C480,</t>
  </si>
  <si>
    <t>AEAA,</t>
  </si>
  <si>
    <t>D087,</t>
  </si>
  <si>
    <t>DCC0,</t>
  </si>
  <si>
    <t>D488,</t>
  </si>
  <si>
    <t>D880,</t>
  </si>
  <si>
    <t>C2AA,</t>
  </si>
  <si>
    <t>E487,</t>
  </si>
  <si>
    <t>F087,</t>
  </si>
  <si>
    <t>E888,</t>
  </si>
  <si>
    <t>EC80,</t>
  </si>
  <si>
    <t>D6AA,</t>
  </si>
  <si>
    <t>F488,</t>
  </si>
  <si>
    <t>EAAA;</t>
  </si>
  <si>
    <t>dest</t>
    <phoneticPr fontId="1"/>
  </si>
  <si>
    <t>LR2</t>
    <phoneticPr fontId="1"/>
  </si>
  <si>
    <t>BR</t>
    <phoneticPr fontId="1"/>
  </si>
  <si>
    <t>CPY</t>
    <phoneticPr fontId="1"/>
  </si>
  <si>
    <t>OPC</t>
    <phoneticPr fontId="1"/>
  </si>
  <si>
    <t>C</t>
    <phoneticPr fontId="1"/>
  </si>
  <si>
    <t>ADD</t>
    <phoneticPr fontId="1"/>
  </si>
  <si>
    <t>MUL</t>
    <phoneticPr fontId="1"/>
  </si>
  <si>
    <t>SHL</t>
    <phoneticPr fontId="1"/>
  </si>
  <si>
    <t>ADDGEN</t>
    <phoneticPr fontId="1"/>
  </si>
  <si>
    <t>DLi+1</t>
    <phoneticPr fontId="1"/>
  </si>
  <si>
    <t>DLi</t>
    <phoneticPr fontId="1"/>
  </si>
  <si>
    <t>Tf</t>
    <phoneticPr fontId="1"/>
  </si>
  <si>
    <t>Tr</t>
    <phoneticPr fontId="1"/>
  </si>
  <si>
    <t>M</t>
    <phoneticPr fontId="1"/>
  </si>
  <si>
    <t>MMCAM</t>
    <phoneticPr fontId="1"/>
  </si>
  <si>
    <t>MMRAM</t>
    <phoneticPr fontId="1"/>
  </si>
  <si>
    <t>PS</t>
    <phoneticPr fontId="1"/>
  </si>
  <si>
    <t>FP</t>
    <phoneticPr fontId="1"/>
  </si>
  <si>
    <t>MA</t>
    <phoneticPr fontId="1"/>
  </si>
  <si>
    <t>COPY</t>
    <phoneticPr fontId="1"/>
  </si>
  <si>
    <t xml:space="preserve">COPY </t>
    <phoneticPr fontId="1"/>
  </si>
  <si>
    <t>B</t>
    <phoneticPr fontId="1"/>
  </si>
  <si>
    <t>単位</t>
    <rPh sb="0" eb="2">
      <t>タンイ</t>
    </rPh>
    <phoneticPr fontId="1"/>
  </si>
  <si>
    <t>ns</t>
    <phoneticPr fontId="1"/>
  </si>
  <si>
    <t>Send_in</t>
    <phoneticPr fontId="1"/>
  </si>
  <si>
    <t>Ack_out</t>
    <phoneticPr fontId="1"/>
  </si>
  <si>
    <t>Send_out</t>
    <phoneticPr fontId="1"/>
  </si>
  <si>
    <t>Ack_in</t>
    <phoneticPr fontId="1"/>
  </si>
  <si>
    <t>cp</t>
    <phoneticPr fontId="1"/>
  </si>
  <si>
    <t>LB</t>
    <phoneticPr fontId="1"/>
  </si>
  <si>
    <t>LC+LD</t>
    <phoneticPr fontId="1"/>
  </si>
  <si>
    <t>M_Stage</t>
    <phoneticPr fontId="1"/>
  </si>
  <si>
    <t>PS_Stage</t>
    <phoneticPr fontId="1"/>
  </si>
  <si>
    <t>計測時間(μs)</t>
    <rPh sb="0" eb="2">
      <t>ケイソク</t>
    </rPh>
    <rPh sb="2" eb="4">
      <t>ジカン</t>
    </rPh>
    <phoneticPr fontId="1"/>
  </si>
  <si>
    <t>遅延素子</t>
    <phoneticPr fontId="1"/>
  </si>
  <si>
    <t>遅延時間(ns)</t>
    <rPh sb="0" eb="4">
      <t>チエンジカン</t>
    </rPh>
    <phoneticPr fontId="1"/>
  </si>
  <si>
    <t>FP_Stage</t>
    <phoneticPr fontId="1"/>
  </si>
  <si>
    <t>MA_Stage</t>
    <phoneticPr fontId="1"/>
  </si>
  <si>
    <t>B_Stage</t>
    <phoneticPr fontId="1"/>
  </si>
  <si>
    <t>16bit</t>
    <phoneticPr fontId="1"/>
  </si>
  <si>
    <t>32bit</t>
    <phoneticPr fontId="1"/>
  </si>
  <si>
    <t>LA</t>
    <phoneticPr fontId="1"/>
  </si>
  <si>
    <t>LC</t>
    <phoneticPr fontId="1"/>
  </si>
  <si>
    <t>LD</t>
    <phoneticPr fontId="1"/>
  </si>
  <si>
    <t>CM</t>
    <phoneticPr fontId="1"/>
  </si>
  <si>
    <t>CE</t>
    <phoneticPr fontId="1"/>
  </si>
  <si>
    <t>CX2</t>
    <phoneticPr fontId="1"/>
  </si>
  <si>
    <t xml:space="preserve">  </t>
    <phoneticPr fontId="1"/>
  </si>
  <si>
    <t>T_max</t>
    <phoneticPr fontId="1"/>
  </si>
  <si>
    <t>03f84aa81fe40001</t>
  </si>
  <si>
    <t>03f84aa81fe40001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</si>
</sst>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F2D82-D072-40BC-9D29-7084BF392BA4}" name="テーブル1" displayName="テーブル1" ref="E1:K63" totalsRowShown="0" headerRowDxfId="11" dataDxfId="9" headerRowBorderDxfId="10" tableBorderDxfId="8" totalsRowBorderDxfId="7">
  <autoFilter ref="E1:K63" xr:uid="{B00F2D82-D072-40BC-9D29-7084BF392BA4}"/>
  <tableColumns count="7">
    <tableColumn id="1" xr3:uid="{55720F09-107F-4F4C-A112-2A4E62A7E784}" name="レジスタ番号" dataDxfId="6">
      <calculatedColumnFormula>DEC2HEX(B2)</calculatedColumnFormula>
    </tableColumn>
    <tableColumn id="2" xr3:uid="{A4EB7614-BDE6-4EDE-90B0-807A174ADEDA}" name="命令番号" dataDxfId="5"/>
    <tableColumn id="3" xr3:uid="{4546FF61-AB0A-451C-A9A3-6B4B26C1AEC4}" name="dest" dataDxfId="4"/>
    <tableColumn id="4" xr3:uid="{AA699203-E2B4-4768-B7C3-FEC9022463E7}" name="LR2" dataDxfId="3"/>
    <tableColumn id="5" xr3:uid="{C311E48F-7A7F-421D-8859-05F796661C3E}" name="BR" dataDxfId="2"/>
    <tableColumn id="6" xr3:uid="{482EF7D2-C475-4D9F-BC1A-A192F6B4CBBD}" name="CPY" dataDxfId="1"/>
    <tableColumn id="7" xr3:uid="{AE935AE3-D912-4F40-826D-D6A3151E06AD}" name="OPC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BEA-29FD-4EC8-8070-B8C17D61A182}">
  <dimension ref="A1:K67"/>
  <sheetViews>
    <sheetView tabSelected="1" workbookViewId="0">
      <selection activeCell="E15" sqref="E15:K15"/>
    </sheetView>
  </sheetViews>
  <sheetFormatPr defaultRowHeight="18.75" x14ac:dyDescent="0.4"/>
  <cols>
    <col min="5" max="5" width="14" customWidth="1"/>
    <col min="6" max="6" width="10.25" customWidth="1"/>
  </cols>
  <sheetData>
    <row r="1" spans="1:11" ht="19.5" thickBot="1" x14ac:dyDescent="0.45">
      <c r="A1" t="s">
        <v>0</v>
      </c>
      <c r="E1" s="14" t="s">
        <v>1</v>
      </c>
      <c r="F1" s="15" t="s">
        <v>2</v>
      </c>
      <c r="G1" s="15" t="s">
        <v>65</v>
      </c>
      <c r="H1" s="15" t="s">
        <v>66</v>
      </c>
      <c r="I1" s="15" t="s">
        <v>67</v>
      </c>
      <c r="J1" s="15" t="s">
        <v>68</v>
      </c>
      <c r="K1" s="16" t="s">
        <v>69</v>
      </c>
    </row>
    <row r="2" spans="1:11" x14ac:dyDescent="0.4">
      <c r="A2">
        <v>0</v>
      </c>
      <c r="B2">
        <f>4*A2</f>
        <v>0</v>
      </c>
      <c r="E2" s="2" t="str">
        <f t="shared" ref="E2:E33" si="0">DEC2HEX(B2)</f>
        <v>0</v>
      </c>
      <c r="F2" s="3" t="s">
        <v>3</v>
      </c>
      <c r="G2" s="3">
        <v>4</v>
      </c>
      <c r="H2" s="3"/>
      <c r="I2" s="3"/>
      <c r="J2" s="3">
        <v>1</v>
      </c>
      <c r="K2" s="4" t="s">
        <v>71</v>
      </c>
    </row>
    <row r="3" spans="1:11" x14ac:dyDescent="0.4">
      <c r="A3">
        <v>1</v>
      </c>
      <c r="B3">
        <f t="shared" ref="B3:B65" si="1">4*A3</f>
        <v>4</v>
      </c>
      <c r="E3" s="5" t="str">
        <f t="shared" si="0"/>
        <v>4</v>
      </c>
      <c r="F3" s="6" t="s">
        <v>4</v>
      </c>
      <c r="G3" s="6" t="s">
        <v>70</v>
      </c>
      <c r="H3" s="6"/>
      <c r="I3" s="6"/>
      <c r="J3" s="6">
        <v>0</v>
      </c>
      <c r="K3" s="7" t="s">
        <v>72</v>
      </c>
    </row>
    <row r="4" spans="1:11" x14ac:dyDescent="0.4">
      <c r="A4">
        <v>2</v>
      </c>
      <c r="B4">
        <f t="shared" si="1"/>
        <v>8</v>
      </c>
      <c r="E4" s="5" t="str">
        <f t="shared" si="0"/>
        <v>8</v>
      </c>
      <c r="F4" s="6" t="s">
        <v>5</v>
      </c>
      <c r="G4" s="6"/>
      <c r="H4" s="6"/>
      <c r="I4" s="6"/>
      <c r="J4" s="6">
        <v>1</v>
      </c>
      <c r="K4" s="7" t="s">
        <v>71</v>
      </c>
    </row>
    <row r="5" spans="1:11" x14ac:dyDescent="0.4">
      <c r="A5">
        <v>3</v>
      </c>
      <c r="B5">
        <f t="shared" si="1"/>
        <v>12</v>
      </c>
      <c r="E5" s="5" t="str">
        <f t="shared" si="0"/>
        <v>C</v>
      </c>
      <c r="F5" s="6" t="s">
        <v>6</v>
      </c>
      <c r="G5" s="6"/>
      <c r="H5" s="6"/>
      <c r="I5" s="6"/>
      <c r="J5" s="6">
        <v>0</v>
      </c>
      <c r="K5" s="7" t="s">
        <v>73</v>
      </c>
    </row>
    <row r="6" spans="1:11" ht="19.5" thickBot="1" x14ac:dyDescent="0.45">
      <c r="A6">
        <v>4</v>
      </c>
      <c r="B6">
        <f t="shared" si="1"/>
        <v>16</v>
      </c>
      <c r="E6" s="11" t="str">
        <f t="shared" si="0"/>
        <v>10</v>
      </c>
      <c r="F6" s="12" t="s">
        <v>7</v>
      </c>
      <c r="G6" s="12"/>
      <c r="H6" s="12"/>
      <c r="I6" s="12"/>
      <c r="J6" s="12">
        <v>0</v>
      </c>
      <c r="K6" s="13" t="s">
        <v>71</v>
      </c>
    </row>
    <row r="7" spans="1:11" x14ac:dyDescent="0.4">
      <c r="A7">
        <v>5</v>
      </c>
      <c r="B7">
        <f t="shared" si="1"/>
        <v>20</v>
      </c>
      <c r="E7" s="2" t="str">
        <f t="shared" si="0"/>
        <v>14</v>
      </c>
      <c r="F7" s="3" t="s">
        <v>8</v>
      </c>
      <c r="G7" s="3"/>
      <c r="H7" s="3"/>
      <c r="I7" s="3"/>
      <c r="J7" s="3">
        <v>0</v>
      </c>
      <c r="K7" s="4" t="s">
        <v>72</v>
      </c>
    </row>
    <row r="8" spans="1:11" x14ac:dyDescent="0.4">
      <c r="A8">
        <v>6</v>
      </c>
      <c r="B8">
        <f t="shared" si="1"/>
        <v>24</v>
      </c>
      <c r="E8" s="5" t="str">
        <f t="shared" si="0"/>
        <v>18</v>
      </c>
      <c r="F8" s="6" t="s">
        <v>9</v>
      </c>
      <c r="G8" s="6"/>
      <c r="H8" s="6"/>
      <c r="I8" s="6"/>
      <c r="J8" s="6">
        <v>1</v>
      </c>
      <c r="K8" s="7" t="s">
        <v>71</v>
      </c>
    </row>
    <row r="9" spans="1:11" x14ac:dyDescent="0.4">
      <c r="A9">
        <v>7</v>
      </c>
      <c r="B9">
        <f t="shared" si="1"/>
        <v>28</v>
      </c>
      <c r="E9" s="5" t="str">
        <f t="shared" si="0"/>
        <v>1C</v>
      </c>
      <c r="F9" s="6" t="s">
        <v>10</v>
      </c>
      <c r="G9" s="6"/>
      <c r="H9" s="6"/>
      <c r="I9" s="6"/>
      <c r="J9" s="6">
        <v>0</v>
      </c>
      <c r="K9" s="7" t="s">
        <v>73</v>
      </c>
    </row>
    <row r="10" spans="1:11" x14ac:dyDescent="0.4">
      <c r="A10">
        <v>8</v>
      </c>
      <c r="B10">
        <f t="shared" si="1"/>
        <v>32</v>
      </c>
      <c r="E10" s="5" t="str">
        <f t="shared" si="0"/>
        <v>20</v>
      </c>
      <c r="F10" s="6" t="s">
        <v>11</v>
      </c>
      <c r="G10" s="6"/>
      <c r="H10" s="6"/>
      <c r="I10" s="6"/>
      <c r="J10" s="6">
        <v>0</v>
      </c>
      <c r="K10" s="7" t="s">
        <v>71</v>
      </c>
    </row>
    <row r="11" spans="1:11" ht="19.5" thickBot="1" x14ac:dyDescent="0.45">
      <c r="A11">
        <v>9</v>
      </c>
      <c r="B11">
        <f t="shared" si="1"/>
        <v>36</v>
      </c>
      <c r="E11" s="11" t="str">
        <f t="shared" si="0"/>
        <v>24</v>
      </c>
      <c r="F11" s="12" t="s">
        <v>12</v>
      </c>
      <c r="G11" s="12"/>
      <c r="H11" s="12"/>
      <c r="I11" s="12"/>
      <c r="J11" s="12">
        <v>0</v>
      </c>
      <c r="K11" s="13" t="s">
        <v>74</v>
      </c>
    </row>
    <row r="12" spans="1:11" x14ac:dyDescent="0.4">
      <c r="A12">
        <v>10</v>
      </c>
      <c r="B12">
        <f t="shared" si="1"/>
        <v>40</v>
      </c>
      <c r="E12" s="2" t="str">
        <f t="shared" si="0"/>
        <v>28</v>
      </c>
      <c r="F12" s="3" t="s">
        <v>13</v>
      </c>
      <c r="G12" s="3"/>
      <c r="H12" s="3"/>
      <c r="I12" s="3"/>
      <c r="J12" s="3">
        <v>0</v>
      </c>
      <c r="K12" s="4" t="s">
        <v>72</v>
      </c>
    </row>
    <row r="13" spans="1:11" x14ac:dyDescent="0.4">
      <c r="A13">
        <v>11</v>
      </c>
      <c r="B13">
        <f t="shared" si="1"/>
        <v>44</v>
      </c>
      <c r="E13" s="5" t="str">
        <f t="shared" si="0"/>
        <v>2C</v>
      </c>
      <c r="F13" s="6" t="s">
        <v>14</v>
      </c>
      <c r="G13" s="6"/>
      <c r="H13" s="6"/>
      <c r="I13" s="6"/>
      <c r="J13" s="6">
        <v>1</v>
      </c>
      <c r="K13" s="7" t="s">
        <v>71</v>
      </c>
    </row>
    <row r="14" spans="1:11" x14ac:dyDescent="0.4">
      <c r="A14">
        <v>12</v>
      </c>
      <c r="B14">
        <f t="shared" si="1"/>
        <v>48</v>
      </c>
      <c r="E14" s="5" t="str">
        <f t="shared" si="0"/>
        <v>30</v>
      </c>
      <c r="F14" s="6" t="s">
        <v>15</v>
      </c>
      <c r="G14" s="6"/>
      <c r="H14" s="6"/>
      <c r="I14" s="6"/>
      <c r="J14" s="6">
        <v>0</v>
      </c>
      <c r="K14" s="7" t="s">
        <v>73</v>
      </c>
    </row>
    <row r="15" spans="1:11" x14ac:dyDescent="0.4">
      <c r="A15">
        <v>13</v>
      </c>
      <c r="B15">
        <f t="shared" si="1"/>
        <v>52</v>
      </c>
      <c r="E15" s="5" t="str">
        <f t="shared" si="0"/>
        <v>34</v>
      </c>
      <c r="F15" s="6" t="s">
        <v>16</v>
      </c>
      <c r="G15" s="6"/>
      <c r="H15" s="6"/>
      <c r="I15" s="6"/>
      <c r="J15" s="6">
        <v>0</v>
      </c>
      <c r="K15" s="7" t="s">
        <v>71</v>
      </c>
    </row>
    <row r="16" spans="1:11" ht="19.5" thickBot="1" x14ac:dyDescent="0.45">
      <c r="A16">
        <v>14</v>
      </c>
      <c r="B16">
        <f t="shared" si="1"/>
        <v>56</v>
      </c>
      <c r="E16" s="11" t="str">
        <f t="shared" si="0"/>
        <v>38</v>
      </c>
      <c r="F16" s="12" t="s">
        <v>17</v>
      </c>
      <c r="G16" s="12"/>
      <c r="H16" s="12"/>
      <c r="I16" s="12"/>
      <c r="J16" s="12">
        <v>0</v>
      </c>
      <c r="K16" s="13" t="s">
        <v>74</v>
      </c>
    </row>
    <row r="17" spans="1:11" x14ac:dyDescent="0.4">
      <c r="A17">
        <v>15</v>
      </c>
      <c r="B17">
        <f t="shared" si="1"/>
        <v>60</v>
      </c>
      <c r="E17" s="2" t="str">
        <f t="shared" si="0"/>
        <v>3C</v>
      </c>
      <c r="F17" s="3" t="s">
        <v>18</v>
      </c>
      <c r="G17" s="3"/>
      <c r="H17" s="3"/>
      <c r="I17" s="3"/>
      <c r="J17" s="3">
        <v>0</v>
      </c>
      <c r="K17" s="4" t="s">
        <v>72</v>
      </c>
    </row>
    <row r="18" spans="1:11" x14ac:dyDescent="0.4">
      <c r="A18">
        <v>16</v>
      </c>
      <c r="B18">
        <f t="shared" si="1"/>
        <v>64</v>
      </c>
      <c r="E18" s="5" t="str">
        <f t="shared" si="0"/>
        <v>40</v>
      </c>
      <c r="F18" s="6" t="s">
        <v>19</v>
      </c>
      <c r="G18" s="6"/>
      <c r="H18" s="6"/>
      <c r="I18" s="6"/>
      <c r="J18" s="6">
        <v>1</v>
      </c>
      <c r="K18" s="7" t="s">
        <v>71</v>
      </c>
    </row>
    <row r="19" spans="1:11" x14ac:dyDescent="0.4">
      <c r="A19">
        <v>17</v>
      </c>
      <c r="B19">
        <f t="shared" si="1"/>
        <v>68</v>
      </c>
      <c r="E19" s="5" t="str">
        <f t="shared" si="0"/>
        <v>44</v>
      </c>
      <c r="F19" s="6" t="s">
        <v>20</v>
      </c>
      <c r="G19" s="6"/>
      <c r="H19" s="6"/>
      <c r="I19" s="6"/>
      <c r="J19" s="6">
        <v>0</v>
      </c>
      <c r="K19" s="7" t="s">
        <v>73</v>
      </c>
    </row>
    <row r="20" spans="1:11" x14ac:dyDescent="0.4">
      <c r="A20">
        <v>18</v>
      </c>
      <c r="B20">
        <f t="shared" si="1"/>
        <v>72</v>
      </c>
      <c r="E20" s="5" t="str">
        <f t="shared" si="0"/>
        <v>48</v>
      </c>
      <c r="F20" s="6" t="s">
        <v>21</v>
      </c>
      <c r="G20" s="6"/>
      <c r="H20" s="6"/>
      <c r="I20" s="6"/>
      <c r="J20" s="6">
        <v>0</v>
      </c>
      <c r="K20" s="7" t="s">
        <v>71</v>
      </c>
    </row>
    <row r="21" spans="1:11" ht="19.5" thickBot="1" x14ac:dyDescent="0.45">
      <c r="A21">
        <v>19</v>
      </c>
      <c r="B21">
        <f t="shared" si="1"/>
        <v>76</v>
      </c>
      <c r="E21" s="11" t="str">
        <f t="shared" si="0"/>
        <v>4C</v>
      </c>
      <c r="F21" s="12" t="s">
        <v>22</v>
      </c>
      <c r="G21" s="12"/>
      <c r="H21" s="12"/>
      <c r="I21" s="12"/>
      <c r="J21" s="12">
        <v>0</v>
      </c>
      <c r="K21" s="13" t="s">
        <v>74</v>
      </c>
    </row>
    <row r="22" spans="1:11" x14ac:dyDescent="0.4">
      <c r="A22">
        <v>20</v>
      </c>
      <c r="B22">
        <f t="shared" si="1"/>
        <v>80</v>
      </c>
      <c r="E22" s="2" t="str">
        <f t="shared" si="0"/>
        <v>50</v>
      </c>
      <c r="F22" s="3" t="s">
        <v>23</v>
      </c>
      <c r="G22" s="3"/>
      <c r="H22" s="3"/>
      <c r="I22" s="3"/>
      <c r="J22" s="3">
        <v>0</v>
      </c>
      <c r="K22" s="4" t="s">
        <v>72</v>
      </c>
    </row>
    <row r="23" spans="1:11" x14ac:dyDescent="0.4">
      <c r="A23">
        <v>21</v>
      </c>
      <c r="B23">
        <f t="shared" si="1"/>
        <v>84</v>
      </c>
      <c r="E23" s="5" t="str">
        <f t="shared" si="0"/>
        <v>54</v>
      </c>
      <c r="F23" s="6" t="s">
        <v>24</v>
      </c>
      <c r="G23" s="6"/>
      <c r="H23" s="6"/>
      <c r="I23" s="6"/>
      <c r="J23" s="6">
        <v>1</v>
      </c>
      <c r="K23" s="7" t="s">
        <v>71</v>
      </c>
    </row>
    <row r="24" spans="1:11" x14ac:dyDescent="0.4">
      <c r="A24">
        <v>22</v>
      </c>
      <c r="B24">
        <f t="shared" si="1"/>
        <v>88</v>
      </c>
      <c r="E24" s="5" t="str">
        <f t="shared" si="0"/>
        <v>58</v>
      </c>
      <c r="F24" s="6" t="s">
        <v>25</v>
      </c>
      <c r="G24" s="6"/>
      <c r="H24" s="6"/>
      <c r="I24" s="6"/>
      <c r="J24" s="6">
        <v>0</v>
      </c>
      <c r="K24" s="7" t="s">
        <v>73</v>
      </c>
    </row>
    <row r="25" spans="1:11" x14ac:dyDescent="0.4">
      <c r="A25">
        <v>23</v>
      </c>
      <c r="B25">
        <f t="shared" si="1"/>
        <v>92</v>
      </c>
      <c r="E25" s="5" t="str">
        <f t="shared" si="0"/>
        <v>5C</v>
      </c>
      <c r="F25" s="6" t="s">
        <v>26</v>
      </c>
      <c r="G25" s="6"/>
      <c r="H25" s="6"/>
      <c r="I25" s="6"/>
      <c r="J25" s="6">
        <v>0</v>
      </c>
      <c r="K25" s="7" t="s">
        <v>71</v>
      </c>
    </row>
    <row r="26" spans="1:11" ht="19.5" thickBot="1" x14ac:dyDescent="0.45">
      <c r="A26">
        <v>24</v>
      </c>
      <c r="B26">
        <f t="shared" si="1"/>
        <v>96</v>
      </c>
      <c r="E26" s="11" t="str">
        <f t="shared" si="0"/>
        <v>60</v>
      </c>
      <c r="F26" s="12" t="s">
        <v>27</v>
      </c>
      <c r="G26" s="12"/>
      <c r="H26" s="12"/>
      <c r="I26" s="12"/>
      <c r="J26" s="12">
        <v>0</v>
      </c>
      <c r="K26" s="13" t="s">
        <v>74</v>
      </c>
    </row>
    <row r="27" spans="1:11" x14ac:dyDescent="0.4">
      <c r="A27">
        <v>25</v>
      </c>
      <c r="B27">
        <f t="shared" si="1"/>
        <v>100</v>
      </c>
      <c r="E27" s="2" t="str">
        <f t="shared" si="0"/>
        <v>64</v>
      </c>
      <c r="F27" s="3" t="s">
        <v>28</v>
      </c>
      <c r="G27" s="3"/>
      <c r="H27" s="3"/>
      <c r="I27" s="3"/>
      <c r="J27" s="3">
        <v>0</v>
      </c>
      <c r="K27" s="4" t="s">
        <v>72</v>
      </c>
    </row>
    <row r="28" spans="1:11" x14ac:dyDescent="0.4">
      <c r="A28">
        <v>26</v>
      </c>
      <c r="B28">
        <f t="shared" si="1"/>
        <v>104</v>
      </c>
      <c r="E28" s="5" t="str">
        <f t="shared" si="0"/>
        <v>68</v>
      </c>
      <c r="F28" s="6" t="s">
        <v>29</v>
      </c>
      <c r="G28" s="6"/>
      <c r="H28" s="6"/>
      <c r="I28" s="6"/>
      <c r="J28" s="6">
        <v>1</v>
      </c>
      <c r="K28" s="7" t="s">
        <v>71</v>
      </c>
    </row>
    <row r="29" spans="1:11" x14ac:dyDescent="0.4">
      <c r="A29">
        <v>27</v>
      </c>
      <c r="B29">
        <f t="shared" si="1"/>
        <v>108</v>
      </c>
      <c r="E29" s="5" t="str">
        <f t="shared" si="0"/>
        <v>6C</v>
      </c>
      <c r="F29" s="6" t="s">
        <v>30</v>
      </c>
      <c r="G29" s="6"/>
      <c r="H29" s="6"/>
      <c r="I29" s="6"/>
      <c r="J29" s="6">
        <v>0</v>
      </c>
      <c r="K29" s="7" t="s">
        <v>73</v>
      </c>
    </row>
    <row r="30" spans="1:11" x14ac:dyDescent="0.4">
      <c r="A30">
        <v>28</v>
      </c>
      <c r="B30">
        <f t="shared" si="1"/>
        <v>112</v>
      </c>
      <c r="E30" s="5" t="str">
        <f t="shared" si="0"/>
        <v>70</v>
      </c>
      <c r="F30" s="6" t="s">
        <v>31</v>
      </c>
      <c r="G30" s="6"/>
      <c r="H30" s="6"/>
      <c r="I30" s="6"/>
      <c r="J30" s="6">
        <v>0</v>
      </c>
      <c r="K30" s="7" t="s">
        <v>71</v>
      </c>
    </row>
    <row r="31" spans="1:11" ht="19.5" thickBot="1" x14ac:dyDescent="0.45">
      <c r="A31">
        <v>29</v>
      </c>
      <c r="B31">
        <f t="shared" si="1"/>
        <v>116</v>
      </c>
      <c r="E31" s="11" t="str">
        <f t="shared" si="0"/>
        <v>74</v>
      </c>
      <c r="F31" s="12" t="s">
        <v>32</v>
      </c>
      <c r="G31" s="12"/>
      <c r="H31" s="12"/>
      <c r="I31" s="12"/>
      <c r="J31" s="12">
        <v>0</v>
      </c>
      <c r="K31" s="13" t="s">
        <v>74</v>
      </c>
    </row>
    <row r="32" spans="1:11" x14ac:dyDescent="0.4">
      <c r="A32">
        <v>30</v>
      </c>
      <c r="B32">
        <f t="shared" si="1"/>
        <v>120</v>
      </c>
      <c r="E32" s="2" t="str">
        <f t="shared" si="0"/>
        <v>78</v>
      </c>
      <c r="F32" s="3" t="s">
        <v>33</v>
      </c>
      <c r="G32" s="3"/>
      <c r="H32" s="3"/>
      <c r="I32" s="3"/>
      <c r="J32" s="3">
        <v>0</v>
      </c>
      <c r="K32" s="4" t="s">
        <v>72</v>
      </c>
    </row>
    <row r="33" spans="1:11" x14ac:dyDescent="0.4">
      <c r="A33">
        <v>31</v>
      </c>
      <c r="B33">
        <f t="shared" si="1"/>
        <v>124</v>
      </c>
      <c r="E33" s="5" t="str">
        <f t="shared" si="0"/>
        <v>7C</v>
      </c>
      <c r="F33" s="6" t="s">
        <v>34</v>
      </c>
      <c r="G33" s="6"/>
      <c r="H33" s="6"/>
      <c r="I33" s="6"/>
      <c r="J33" s="6">
        <v>1</v>
      </c>
      <c r="K33" s="7" t="s">
        <v>71</v>
      </c>
    </row>
    <row r="34" spans="1:11" x14ac:dyDescent="0.4">
      <c r="A34">
        <v>32</v>
      </c>
      <c r="B34">
        <f t="shared" si="1"/>
        <v>128</v>
      </c>
      <c r="E34" s="5" t="str">
        <f t="shared" ref="E34:E65" si="2">DEC2HEX(B34)</f>
        <v>80</v>
      </c>
      <c r="F34" s="6" t="s">
        <v>35</v>
      </c>
      <c r="G34" s="6"/>
      <c r="H34" s="6"/>
      <c r="I34" s="6"/>
      <c r="J34" s="6">
        <v>0</v>
      </c>
      <c r="K34" s="7" t="s">
        <v>73</v>
      </c>
    </row>
    <row r="35" spans="1:11" x14ac:dyDescent="0.4">
      <c r="A35">
        <v>33</v>
      </c>
      <c r="B35">
        <f t="shared" si="1"/>
        <v>132</v>
      </c>
      <c r="E35" s="5" t="str">
        <f t="shared" si="2"/>
        <v>84</v>
      </c>
      <c r="F35" s="6" t="s">
        <v>36</v>
      </c>
      <c r="G35" s="6"/>
      <c r="H35" s="6"/>
      <c r="I35" s="6"/>
      <c r="J35" s="6">
        <v>0</v>
      </c>
      <c r="K35" s="7" t="s">
        <v>71</v>
      </c>
    </row>
    <row r="36" spans="1:11" ht="19.5" thickBot="1" x14ac:dyDescent="0.45">
      <c r="A36">
        <v>34</v>
      </c>
      <c r="B36">
        <f t="shared" si="1"/>
        <v>136</v>
      </c>
      <c r="E36" s="11" t="str">
        <f t="shared" si="2"/>
        <v>88</v>
      </c>
      <c r="F36" s="12" t="s">
        <v>37</v>
      </c>
      <c r="G36" s="12"/>
      <c r="H36" s="12"/>
      <c r="I36" s="12"/>
      <c r="J36" s="12">
        <v>0</v>
      </c>
      <c r="K36" s="13" t="s">
        <v>74</v>
      </c>
    </row>
    <row r="37" spans="1:11" x14ac:dyDescent="0.4">
      <c r="A37">
        <v>35</v>
      </c>
      <c r="B37">
        <f t="shared" si="1"/>
        <v>140</v>
      </c>
      <c r="E37" s="2" t="str">
        <f t="shared" si="2"/>
        <v>8C</v>
      </c>
      <c r="F37" s="3" t="s">
        <v>38</v>
      </c>
      <c r="G37" s="3"/>
      <c r="H37" s="3"/>
      <c r="I37" s="3"/>
      <c r="J37" s="3">
        <v>0</v>
      </c>
      <c r="K37" s="4" t="s">
        <v>72</v>
      </c>
    </row>
    <row r="38" spans="1:11" x14ac:dyDescent="0.4">
      <c r="A38">
        <v>36</v>
      </c>
      <c r="B38">
        <f t="shared" si="1"/>
        <v>144</v>
      </c>
      <c r="E38" s="5" t="str">
        <f t="shared" si="2"/>
        <v>90</v>
      </c>
      <c r="F38" s="6" t="s">
        <v>39</v>
      </c>
      <c r="G38" s="6"/>
      <c r="H38" s="6"/>
      <c r="I38" s="6"/>
      <c r="J38" s="6">
        <v>1</v>
      </c>
      <c r="K38" s="7" t="s">
        <v>71</v>
      </c>
    </row>
    <row r="39" spans="1:11" x14ac:dyDescent="0.4">
      <c r="A39">
        <v>37</v>
      </c>
      <c r="B39">
        <f t="shared" si="1"/>
        <v>148</v>
      </c>
      <c r="E39" s="5" t="str">
        <f t="shared" si="2"/>
        <v>94</v>
      </c>
      <c r="F39" s="6" t="s">
        <v>40</v>
      </c>
      <c r="G39" s="6"/>
      <c r="H39" s="6"/>
      <c r="I39" s="6"/>
      <c r="J39" s="6">
        <v>0</v>
      </c>
      <c r="K39" s="7" t="s">
        <v>73</v>
      </c>
    </row>
    <row r="40" spans="1:11" x14ac:dyDescent="0.4">
      <c r="A40">
        <v>38</v>
      </c>
      <c r="B40">
        <f t="shared" si="1"/>
        <v>152</v>
      </c>
      <c r="E40" s="5" t="str">
        <f t="shared" si="2"/>
        <v>98</v>
      </c>
      <c r="F40" s="6" t="s">
        <v>41</v>
      </c>
      <c r="G40" s="6"/>
      <c r="H40" s="6"/>
      <c r="I40" s="6"/>
      <c r="J40" s="6">
        <v>0</v>
      </c>
      <c r="K40" s="7" t="s">
        <v>71</v>
      </c>
    </row>
    <row r="41" spans="1:11" ht="19.5" thickBot="1" x14ac:dyDescent="0.45">
      <c r="A41">
        <v>39</v>
      </c>
      <c r="B41">
        <f t="shared" si="1"/>
        <v>156</v>
      </c>
      <c r="E41" s="11" t="str">
        <f t="shared" si="2"/>
        <v>9C</v>
      </c>
      <c r="F41" s="12" t="s">
        <v>42</v>
      </c>
      <c r="G41" s="12"/>
      <c r="H41" s="12"/>
      <c r="I41" s="12"/>
      <c r="J41" s="12">
        <v>0</v>
      </c>
      <c r="K41" s="13" t="s">
        <v>74</v>
      </c>
    </row>
    <row r="42" spans="1:11" x14ac:dyDescent="0.4">
      <c r="A42">
        <v>40</v>
      </c>
      <c r="B42">
        <f t="shared" si="1"/>
        <v>160</v>
      </c>
      <c r="E42" s="2" t="str">
        <f t="shared" si="2"/>
        <v>A0</v>
      </c>
      <c r="F42" s="3" t="s">
        <v>43</v>
      </c>
      <c r="G42" s="3"/>
      <c r="H42" s="3"/>
      <c r="I42" s="3"/>
      <c r="J42" s="3">
        <v>0</v>
      </c>
      <c r="K42" s="4" t="s">
        <v>72</v>
      </c>
    </row>
    <row r="43" spans="1:11" x14ac:dyDescent="0.4">
      <c r="A43">
        <v>41</v>
      </c>
      <c r="B43">
        <f t="shared" si="1"/>
        <v>164</v>
      </c>
      <c r="E43" s="5" t="str">
        <f t="shared" si="2"/>
        <v>A4</v>
      </c>
      <c r="F43" s="6" t="s">
        <v>44</v>
      </c>
      <c r="G43" s="6"/>
      <c r="H43" s="6"/>
      <c r="I43" s="6"/>
      <c r="J43" s="6">
        <v>1</v>
      </c>
      <c r="K43" s="7" t="s">
        <v>71</v>
      </c>
    </row>
    <row r="44" spans="1:11" x14ac:dyDescent="0.4">
      <c r="A44">
        <v>42</v>
      </c>
      <c r="B44">
        <f t="shared" si="1"/>
        <v>168</v>
      </c>
      <c r="E44" s="5" t="str">
        <f t="shared" si="2"/>
        <v>A8</v>
      </c>
      <c r="F44" s="6" t="s">
        <v>45</v>
      </c>
      <c r="G44" s="6"/>
      <c r="H44" s="6"/>
      <c r="I44" s="6"/>
      <c r="J44" s="6">
        <v>0</v>
      </c>
      <c r="K44" s="7" t="s">
        <v>73</v>
      </c>
    </row>
    <row r="45" spans="1:11" x14ac:dyDescent="0.4">
      <c r="A45">
        <v>43</v>
      </c>
      <c r="B45">
        <f t="shared" si="1"/>
        <v>172</v>
      </c>
      <c r="E45" s="5" t="str">
        <f t="shared" si="2"/>
        <v>AC</v>
      </c>
      <c r="F45" s="6" t="s">
        <v>46</v>
      </c>
      <c r="G45" s="6"/>
      <c r="H45" s="6"/>
      <c r="I45" s="6"/>
      <c r="J45" s="6">
        <v>0</v>
      </c>
      <c r="K45" s="7" t="s">
        <v>71</v>
      </c>
    </row>
    <row r="46" spans="1:11" ht="19.5" thickBot="1" x14ac:dyDescent="0.45">
      <c r="A46">
        <v>44</v>
      </c>
      <c r="B46">
        <f t="shared" si="1"/>
        <v>176</v>
      </c>
      <c r="E46" s="11" t="str">
        <f t="shared" si="2"/>
        <v>B0</v>
      </c>
      <c r="F46" s="12" t="s">
        <v>47</v>
      </c>
      <c r="G46" s="12"/>
      <c r="H46" s="12"/>
      <c r="I46" s="12"/>
      <c r="J46" s="12">
        <v>0</v>
      </c>
      <c r="K46" s="13" t="s">
        <v>74</v>
      </c>
    </row>
    <row r="47" spans="1:11" x14ac:dyDescent="0.4">
      <c r="A47">
        <v>45</v>
      </c>
      <c r="B47">
        <f t="shared" si="1"/>
        <v>180</v>
      </c>
      <c r="E47" s="2" t="str">
        <f t="shared" si="2"/>
        <v>B4</v>
      </c>
      <c r="F47" s="3" t="s">
        <v>48</v>
      </c>
      <c r="G47" s="3"/>
      <c r="H47" s="3"/>
      <c r="I47" s="3"/>
      <c r="J47" s="3">
        <v>0</v>
      </c>
      <c r="K47" s="4" t="s">
        <v>72</v>
      </c>
    </row>
    <row r="48" spans="1:11" x14ac:dyDescent="0.4">
      <c r="A48">
        <v>46</v>
      </c>
      <c r="B48">
        <f t="shared" si="1"/>
        <v>184</v>
      </c>
      <c r="E48" s="5" t="str">
        <f t="shared" si="2"/>
        <v>B8</v>
      </c>
      <c r="F48" s="6" t="s">
        <v>49</v>
      </c>
      <c r="G48" s="6"/>
      <c r="H48" s="6"/>
      <c r="I48" s="6"/>
      <c r="J48" s="6">
        <v>1</v>
      </c>
      <c r="K48" s="7" t="s">
        <v>71</v>
      </c>
    </row>
    <row r="49" spans="1:11" x14ac:dyDescent="0.4">
      <c r="A49">
        <v>47</v>
      </c>
      <c r="B49">
        <f t="shared" si="1"/>
        <v>188</v>
      </c>
      <c r="E49" s="5" t="str">
        <f t="shared" si="2"/>
        <v>BC</v>
      </c>
      <c r="F49" s="6" t="s">
        <v>50</v>
      </c>
      <c r="G49" s="6"/>
      <c r="H49" s="6"/>
      <c r="I49" s="6"/>
      <c r="J49" s="6">
        <v>0</v>
      </c>
      <c r="K49" s="7" t="s">
        <v>73</v>
      </c>
    </row>
    <row r="50" spans="1:11" x14ac:dyDescent="0.4">
      <c r="A50">
        <v>48</v>
      </c>
      <c r="B50">
        <f t="shared" si="1"/>
        <v>192</v>
      </c>
      <c r="E50" s="5" t="str">
        <f t="shared" si="2"/>
        <v>C0</v>
      </c>
      <c r="F50" s="6" t="s">
        <v>51</v>
      </c>
      <c r="G50" s="6"/>
      <c r="H50" s="6"/>
      <c r="I50" s="6"/>
      <c r="J50" s="6">
        <v>0</v>
      </c>
      <c r="K50" s="7" t="s">
        <v>71</v>
      </c>
    </row>
    <row r="51" spans="1:11" ht="19.5" thickBot="1" x14ac:dyDescent="0.45">
      <c r="A51">
        <v>49</v>
      </c>
      <c r="B51">
        <f t="shared" si="1"/>
        <v>196</v>
      </c>
      <c r="E51" s="11" t="str">
        <f t="shared" si="2"/>
        <v>C4</v>
      </c>
      <c r="F51" s="12" t="s">
        <v>52</v>
      </c>
      <c r="G51" s="12"/>
      <c r="H51" s="12"/>
      <c r="I51" s="12"/>
      <c r="J51" s="12">
        <v>0</v>
      </c>
      <c r="K51" s="13" t="s">
        <v>74</v>
      </c>
    </row>
    <row r="52" spans="1:11" x14ac:dyDescent="0.4">
      <c r="A52">
        <v>50</v>
      </c>
      <c r="B52">
        <f t="shared" si="1"/>
        <v>200</v>
      </c>
      <c r="E52" s="2" t="str">
        <f t="shared" si="2"/>
        <v>C8</v>
      </c>
      <c r="F52" s="3" t="s">
        <v>53</v>
      </c>
      <c r="G52" s="3"/>
      <c r="H52" s="3"/>
      <c r="I52" s="3"/>
      <c r="J52" s="3">
        <v>0</v>
      </c>
      <c r="K52" s="4" t="s">
        <v>72</v>
      </c>
    </row>
    <row r="53" spans="1:11" x14ac:dyDescent="0.4">
      <c r="A53">
        <v>51</v>
      </c>
      <c r="B53">
        <f t="shared" si="1"/>
        <v>204</v>
      </c>
      <c r="E53" s="5" t="str">
        <f t="shared" si="2"/>
        <v>CC</v>
      </c>
      <c r="F53" s="6" t="s">
        <v>54</v>
      </c>
      <c r="G53" s="6"/>
      <c r="H53" s="6"/>
      <c r="I53" s="6"/>
      <c r="J53" s="6">
        <v>1</v>
      </c>
      <c r="K53" s="7" t="s">
        <v>71</v>
      </c>
    </row>
    <row r="54" spans="1:11" x14ac:dyDescent="0.4">
      <c r="A54">
        <v>52</v>
      </c>
      <c r="B54">
        <f t="shared" si="1"/>
        <v>208</v>
      </c>
      <c r="E54" s="5" t="str">
        <f t="shared" si="2"/>
        <v>D0</v>
      </c>
      <c r="F54" s="6" t="s">
        <v>55</v>
      </c>
      <c r="G54" s="6"/>
      <c r="H54" s="6"/>
      <c r="I54" s="6"/>
      <c r="J54" s="6">
        <v>0</v>
      </c>
      <c r="K54" s="7" t="s">
        <v>73</v>
      </c>
    </row>
    <row r="55" spans="1:11" x14ac:dyDescent="0.4">
      <c r="A55">
        <v>53</v>
      </c>
      <c r="B55">
        <f t="shared" si="1"/>
        <v>212</v>
      </c>
      <c r="E55" s="5" t="str">
        <f t="shared" si="2"/>
        <v>D4</v>
      </c>
      <c r="F55" s="6" t="s">
        <v>56</v>
      </c>
      <c r="G55" s="6"/>
      <c r="H55" s="6"/>
      <c r="I55" s="6"/>
      <c r="J55" s="6">
        <v>0</v>
      </c>
      <c r="K55" s="7" t="s">
        <v>71</v>
      </c>
    </row>
    <row r="56" spans="1:11" ht="19.5" thickBot="1" x14ac:dyDescent="0.45">
      <c r="A56">
        <v>54</v>
      </c>
      <c r="B56">
        <f t="shared" si="1"/>
        <v>216</v>
      </c>
      <c r="E56" s="11" t="str">
        <f t="shared" si="2"/>
        <v>D8</v>
      </c>
      <c r="F56" s="12" t="s">
        <v>57</v>
      </c>
      <c r="G56" s="12"/>
      <c r="H56" s="12"/>
      <c r="I56" s="12"/>
      <c r="J56" s="12">
        <v>0</v>
      </c>
      <c r="K56" s="13" t="s">
        <v>74</v>
      </c>
    </row>
    <row r="57" spans="1:11" x14ac:dyDescent="0.4">
      <c r="A57">
        <v>55</v>
      </c>
      <c r="B57">
        <f t="shared" si="1"/>
        <v>220</v>
      </c>
      <c r="E57" s="2" t="str">
        <f t="shared" si="2"/>
        <v>DC</v>
      </c>
      <c r="F57" s="3" t="s">
        <v>58</v>
      </c>
      <c r="G57" s="3"/>
      <c r="H57" s="3"/>
      <c r="I57" s="3"/>
      <c r="J57" s="3">
        <v>0</v>
      </c>
      <c r="K57" s="4" t="s">
        <v>72</v>
      </c>
    </row>
    <row r="58" spans="1:11" x14ac:dyDescent="0.4">
      <c r="A58">
        <v>56</v>
      </c>
      <c r="B58">
        <f t="shared" si="1"/>
        <v>224</v>
      </c>
      <c r="E58" s="5" t="str">
        <f t="shared" si="2"/>
        <v>E0</v>
      </c>
      <c r="F58" s="6" t="s">
        <v>59</v>
      </c>
      <c r="G58" s="6"/>
      <c r="H58" s="6"/>
      <c r="I58" s="6"/>
      <c r="J58" s="6">
        <v>0</v>
      </c>
      <c r="K58" s="7" t="s">
        <v>72</v>
      </c>
    </row>
    <row r="59" spans="1:11" x14ac:dyDescent="0.4">
      <c r="A59">
        <v>57</v>
      </c>
      <c r="B59">
        <f t="shared" si="1"/>
        <v>228</v>
      </c>
      <c r="E59" s="5" t="str">
        <f t="shared" si="2"/>
        <v>E4</v>
      </c>
      <c r="F59" s="6" t="s">
        <v>60</v>
      </c>
      <c r="G59" s="6"/>
      <c r="H59" s="6"/>
      <c r="I59" s="6"/>
      <c r="J59" s="6">
        <v>0</v>
      </c>
      <c r="K59" s="7" t="s">
        <v>73</v>
      </c>
    </row>
    <row r="60" spans="1:11" x14ac:dyDescent="0.4">
      <c r="A60">
        <v>58</v>
      </c>
      <c r="B60">
        <f t="shared" si="1"/>
        <v>232</v>
      </c>
      <c r="E60" s="5" t="str">
        <f t="shared" si="2"/>
        <v>E8</v>
      </c>
      <c r="F60" s="6" t="s">
        <v>61</v>
      </c>
      <c r="G60" s="6"/>
      <c r="H60" s="6"/>
      <c r="I60" s="6"/>
      <c r="J60" s="6">
        <v>0</v>
      </c>
      <c r="K60" s="7" t="s">
        <v>71</v>
      </c>
    </row>
    <row r="61" spans="1:11" ht="19.5" thickBot="1" x14ac:dyDescent="0.45">
      <c r="A61">
        <v>59</v>
      </c>
      <c r="B61">
        <f t="shared" si="1"/>
        <v>236</v>
      </c>
      <c r="E61" s="11" t="str">
        <f t="shared" si="2"/>
        <v>EC</v>
      </c>
      <c r="F61" s="12" t="s">
        <v>62</v>
      </c>
      <c r="G61" s="12"/>
      <c r="H61" s="12"/>
      <c r="I61" s="12"/>
      <c r="J61" s="12">
        <v>0</v>
      </c>
      <c r="K61" s="13" t="s">
        <v>74</v>
      </c>
    </row>
    <row r="62" spans="1:11" x14ac:dyDescent="0.4">
      <c r="A62">
        <v>60</v>
      </c>
      <c r="B62">
        <f t="shared" si="1"/>
        <v>240</v>
      </c>
      <c r="E62" s="2" t="str">
        <f t="shared" si="2"/>
        <v>F0</v>
      </c>
      <c r="F62" s="3" t="s">
        <v>63</v>
      </c>
      <c r="G62" s="3"/>
      <c r="H62" s="3"/>
      <c r="I62" s="3"/>
      <c r="J62" s="3">
        <v>0</v>
      </c>
      <c r="K62" s="4" t="s">
        <v>73</v>
      </c>
    </row>
    <row r="63" spans="1:11" x14ac:dyDescent="0.4">
      <c r="A63">
        <v>61</v>
      </c>
      <c r="B63">
        <f t="shared" si="1"/>
        <v>244</v>
      </c>
      <c r="E63" s="8" t="str">
        <f t="shared" si="2"/>
        <v>F4</v>
      </c>
      <c r="F63" s="9" t="s">
        <v>64</v>
      </c>
      <c r="G63" s="9"/>
      <c r="H63" s="9"/>
      <c r="I63" s="9"/>
      <c r="J63" s="9">
        <v>0</v>
      </c>
      <c r="K63" s="10" t="s">
        <v>74</v>
      </c>
    </row>
    <row r="64" spans="1:11" x14ac:dyDescent="0.4">
      <c r="A64">
        <v>62</v>
      </c>
      <c r="B64">
        <f t="shared" si="1"/>
        <v>248</v>
      </c>
      <c r="E64" s="1" t="str">
        <f t="shared" si="2"/>
        <v>F8</v>
      </c>
      <c r="F64" s="1"/>
      <c r="G64" s="1"/>
      <c r="H64" s="1"/>
      <c r="I64" s="1"/>
      <c r="J64" s="1"/>
      <c r="K64" s="1"/>
    </row>
    <row r="65" spans="1:11" x14ac:dyDescent="0.4">
      <c r="A65">
        <v>63</v>
      </c>
      <c r="B65">
        <f t="shared" si="1"/>
        <v>252</v>
      </c>
      <c r="E65" s="1" t="str">
        <f t="shared" si="2"/>
        <v>FC</v>
      </c>
      <c r="F65" s="1"/>
      <c r="G65" s="1"/>
      <c r="H65" s="1"/>
      <c r="I65" s="1"/>
      <c r="J65" s="1"/>
      <c r="K65" s="1"/>
    </row>
    <row r="66" spans="1:11" x14ac:dyDescent="0.4">
      <c r="E66" s="1"/>
      <c r="F66" s="1"/>
      <c r="G66" s="1"/>
      <c r="H66" s="1"/>
      <c r="I66" s="1"/>
      <c r="J66" s="1"/>
      <c r="K66" s="1"/>
    </row>
    <row r="67" spans="1:11" x14ac:dyDescent="0.4">
      <c r="E67" s="1"/>
      <c r="F67" s="1"/>
      <c r="G67" s="1"/>
      <c r="H67" s="1"/>
      <c r="I67" s="1"/>
      <c r="J67" s="1"/>
      <c r="K67" s="1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C05D-39F9-46B2-98ED-F82DEC6EB4C8}">
  <dimension ref="B1:X36"/>
  <sheetViews>
    <sheetView topLeftCell="A7" workbookViewId="0">
      <selection activeCell="Q22" sqref="Q22:R22"/>
    </sheetView>
  </sheetViews>
  <sheetFormatPr defaultRowHeight="18.75" x14ac:dyDescent="0.4"/>
  <cols>
    <col min="3" max="3" width="13" customWidth="1"/>
    <col min="6" max="6" width="12.875" customWidth="1"/>
    <col min="9" max="9" width="13.75" customWidth="1"/>
    <col min="11" max="11" width="9.125" customWidth="1"/>
    <col min="12" max="12" width="13.625" customWidth="1"/>
    <col min="14" max="14" width="9" style="1"/>
    <col min="15" max="15" width="11.625" style="1" customWidth="1"/>
    <col min="16" max="17" width="9" style="1"/>
    <col min="18" max="18" width="12.5" style="1" customWidth="1"/>
    <col min="19" max="20" width="9" style="1"/>
    <col min="21" max="21" width="13.375" style="1" customWidth="1"/>
    <col min="22" max="23" width="9" style="1"/>
    <col min="24" max="24" width="11.875" style="1" customWidth="1"/>
  </cols>
  <sheetData>
    <row r="1" spans="2:24" ht="19.5" thickBot="1" x14ac:dyDescent="0.45">
      <c r="D1" s="28" t="s">
        <v>88</v>
      </c>
      <c r="E1" s="28" t="s">
        <v>89</v>
      </c>
    </row>
    <row r="2" spans="2:24" ht="19.5" thickBot="1" x14ac:dyDescent="0.45">
      <c r="B2" s="21" t="s">
        <v>76</v>
      </c>
      <c r="C2" s="22" t="s">
        <v>75</v>
      </c>
      <c r="D2" s="23" t="s">
        <v>77</v>
      </c>
      <c r="E2" s="24" t="s">
        <v>78</v>
      </c>
      <c r="F2" s="25" t="s">
        <v>114</v>
      </c>
    </row>
    <row r="3" spans="2:24" ht="19.5" thickTop="1" x14ac:dyDescent="0.4">
      <c r="B3" s="17" t="s">
        <v>79</v>
      </c>
      <c r="C3" s="18" t="s">
        <v>80</v>
      </c>
      <c r="D3" s="5">
        <v>45.639000000000003</v>
      </c>
      <c r="E3" s="7">
        <v>13.311</v>
      </c>
      <c r="F3" s="26">
        <f>D3+E3</f>
        <v>58.95</v>
      </c>
    </row>
    <row r="4" spans="2:24" x14ac:dyDescent="0.4">
      <c r="B4" s="17" t="s">
        <v>80</v>
      </c>
      <c r="C4" s="18" t="s">
        <v>81</v>
      </c>
      <c r="D4" s="5">
        <v>38.439</v>
      </c>
      <c r="E4" s="7">
        <v>20.481000000000002</v>
      </c>
      <c r="F4" s="26">
        <f t="shared" ref="F4:F10" si="0">D4+E4</f>
        <v>58.92</v>
      </c>
    </row>
    <row r="5" spans="2:24" x14ac:dyDescent="0.4">
      <c r="B5" s="17" t="s">
        <v>81</v>
      </c>
      <c r="C5" s="18" t="s">
        <v>82</v>
      </c>
      <c r="D5" s="5">
        <v>36.981000000000002</v>
      </c>
      <c r="E5" s="7">
        <v>21.969000000000001</v>
      </c>
      <c r="F5" s="26">
        <f t="shared" si="0"/>
        <v>58.95</v>
      </c>
    </row>
    <row r="6" spans="2:24" x14ac:dyDescent="0.4">
      <c r="B6" s="17" t="s">
        <v>82</v>
      </c>
      <c r="C6" s="18" t="s">
        <v>83</v>
      </c>
      <c r="D6" s="5">
        <v>38.591999999999999</v>
      </c>
      <c r="E6" s="7">
        <v>20.448</v>
      </c>
      <c r="F6" s="26">
        <f t="shared" si="0"/>
        <v>59.04</v>
      </c>
    </row>
    <row r="7" spans="2:24" x14ac:dyDescent="0.4">
      <c r="B7" s="17" t="s">
        <v>83</v>
      </c>
      <c r="C7" s="18" t="s">
        <v>84</v>
      </c>
      <c r="D7" s="5">
        <v>37.121000000000002</v>
      </c>
      <c r="E7" s="7">
        <v>21.829000000000001</v>
      </c>
      <c r="F7" s="26">
        <f t="shared" si="0"/>
        <v>58.95</v>
      </c>
    </row>
    <row r="8" spans="2:24" x14ac:dyDescent="0.4">
      <c r="B8" s="17" t="s">
        <v>84</v>
      </c>
      <c r="C8" s="18" t="s">
        <v>85</v>
      </c>
      <c r="D8" s="5">
        <v>38.520000000000003</v>
      </c>
      <c r="E8" s="7">
        <v>20.43</v>
      </c>
      <c r="F8" s="26">
        <f t="shared" si="0"/>
        <v>58.95</v>
      </c>
    </row>
    <row r="9" spans="2:24" x14ac:dyDescent="0.4">
      <c r="B9" s="17" t="s">
        <v>86</v>
      </c>
      <c r="C9" s="18" t="s">
        <v>87</v>
      </c>
      <c r="D9" s="5">
        <v>36.116</v>
      </c>
      <c r="E9" s="7">
        <v>22.834</v>
      </c>
      <c r="F9" s="26">
        <f t="shared" si="0"/>
        <v>58.95</v>
      </c>
    </row>
    <row r="10" spans="2:24" ht="19.5" thickBot="1" x14ac:dyDescent="0.45">
      <c r="B10" s="19" t="s">
        <v>87</v>
      </c>
      <c r="C10" s="20" t="s">
        <v>79</v>
      </c>
      <c r="D10" s="11">
        <v>41.298999999999999</v>
      </c>
      <c r="E10" s="13">
        <v>17.651</v>
      </c>
      <c r="F10" s="27">
        <f t="shared" si="0"/>
        <v>58.95</v>
      </c>
    </row>
    <row r="12" spans="2:24" x14ac:dyDescent="0.4">
      <c r="B12" s="28" t="s">
        <v>106</v>
      </c>
      <c r="N12" s="1" t="s">
        <v>105</v>
      </c>
    </row>
    <row r="13" spans="2:24" x14ac:dyDescent="0.4">
      <c r="B13" s="6" t="s">
        <v>97</v>
      </c>
      <c r="C13" s="5" t="s">
        <v>99</v>
      </c>
      <c r="D13" s="1"/>
      <c r="E13" s="6" t="s">
        <v>80</v>
      </c>
      <c r="F13" s="5" t="s">
        <v>99</v>
      </c>
      <c r="G13" s="1"/>
      <c r="H13" s="6" t="s">
        <v>81</v>
      </c>
      <c r="I13" s="5" t="s">
        <v>99</v>
      </c>
      <c r="J13" s="1"/>
      <c r="K13" s="6" t="s">
        <v>98</v>
      </c>
      <c r="L13" s="5" t="s">
        <v>99</v>
      </c>
      <c r="N13" s="9" t="s">
        <v>97</v>
      </c>
      <c r="O13" s="8"/>
      <c r="Q13" s="9" t="s">
        <v>80</v>
      </c>
      <c r="R13" s="8"/>
      <c r="T13" s="9" t="s">
        <v>81</v>
      </c>
      <c r="U13" s="8"/>
      <c r="W13" s="9" t="s">
        <v>98</v>
      </c>
      <c r="X13" s="8"/>
    </row>
    <row r="14" spans="2:24" x14ac:dyDescent="0.4">
      <c r="B14" s="30" t="s">
        <v>90</v>
      </c>
      <c r="C14" s="32">
        <v>8.3119999999999994</v>
      </c>
      <c r="D14" s="1"/>
      <c r="E14" s="30" t="s">
        <v>90</v>
      </c>
      <c r="F14" s="32">
        <v>8.3569999999999993</v>
      </c>
      <c r="G14" s="1"/>
      <c r="H14" s="30" t="s">
        <v>90</v>
      </c>
      <c r="I14" s="32">
        <v>8.0289999999999999</v>
      </c>
      <c r="J14" s="1"/>
      <c r="K14" s="30" t="s">
        <v>90</v>
      </c>
      <c r="L14" s="32">
        <v>8.0649999999999995</v>
      </c>
      <c r="N14" s="29" t="s">
        <v>100</v>
      </c>
      <c r="O14" s="5" t="s">
        <v>101</v>
      </c>
      <c r="Q14" s="29" t="s">
        <v>100</v>
      </c>
      <c r="R14" s="5" t="s">
        <v>101</v>
      </c>
      <c r="T14" s="29" t="s">
        <v>100</v>
      </c>
      <c r="U14" s="5" t="s">
        <v>101</v>
      </c>
      <c r="W14" s="29" t="s">
        <v>100</v>
      </c>
      <c r="X14" s="5" t="s">
        <v>101</v>
      </c>
    </row>
    <row r="15" spans="2:24" x14ac:dyDescent="0.4">
      <c r="B15" s="30" t="s">
        <v>91</v>
      </c>
      <c r="C15" s="32">
        <v>8.3230000000000004</v>
      </c>
      <c r="D15" s="1"/>
      <c r="E15" s="30" t="s">
        <v>91</v>
      </c>
      <c r="F15" s="32">
        <v>8.3680000000000003</v>
      </c>
      <c r="G15" s="1"/>
      <c r="H15" s="30" t="s">
        <v>91</v>
      </c>
      <c r="I15" s="32">
        <v>8.0370000000000008</v>
      </c>
      <c r="J15" s="1"/>
      <c r="K15" s="30" t="s">
        <v>91</v>
      </c>
      <c r="L15" s="32">
        <v>8.0760000000000005</v>
      </c>
      <c r="N15" s="30" t="s">
        <v>95</v>
      </c>
      <c r="O15" s="32">
        <v>9.0310000000000006</v>
      </c>
      <c r="Q15" s="30" t="s">
        <v>95</v>
      </c>
      <c r="R15" s="32">
        <v>8.99</v>
      </c>
      <c r="T15" s="30" t="s">
        <v>95</v>
      </c>
      <c r="U15" s="32">
        <v>6.194</v>
      </c>
      <c r="W15" s="30" t="s">
        <v>95</v>
      </c>
      <c r="X15" s="32">
        <v>8.9789999999999992</v>
      </c>
    </row>
    <row r="16" spans="2:24" ht="19.5" thickBot="1" x14ac:dyDescent="0.45">
      <c r="B16" s="30" t="s">
        <v>94</v>
      </c>
      <c r="C16" s="32">
        <v>8.3439999999999994</v>
      </c>
      <c r="D16" s="1"/>
      <c r="E16" s="30" t="s">
        <v>94</v>
      </c>
      <c r="F16" s="32">
        <v>8.39</v>
      </c>
      <c r="G16" s="1"/>
      <c r="H16" s="30" t="s">
        <v>94</v>
      </c>
      <c r="I16" s="32">
        <v>8.0570000000000004</v>
      </c>
      <c r="J16" s="1"/>
      <c r="K16" s="30" t="s">
        <v>94</v>
      </c>
      <c r="L16" s="32">
        <v>8.0939999999999994</v>
      </c>
      <c r="N16" s="30" t="s">
        <v>96</v>
      </c>
      <c r="O16" s="32">
        <v>13.787000000000001</v>
      </c>
      <c r="Q16" s="30" t="s">
        <v>96</v>
      </c>
      <c r="R16" s="32">
        <v>12.795</v>
      </c>
      <c r="T16" s="30" t="s">
        <v>96</v>
      </c>
      <c r="U16" s="32">
        <v>11.019</v>
      </c>
      <c r="W16" s="30" t="s">
        <v>96</v>
      </c>
      <c r="X16" s="32">
        <v>12.942</v>
      </c>
    </row>
    <row r="17" spans="2:24" ht="19.5" thickTop="1" x14ac:dyDescent="0.4">
      <c r="B17" s="30" t="s">
        <v>92</v>
      </c>
      <c r="C17" s="32">
        <v>8.3569999999999993</v>
      </c>
      <c r="D17" s="1"/>
      <c r="E17" s="30" t="s">
        <v>92</v>
      </c>
      <c r="F17" s="32">
        <v>8.4009999999999998</v>
      </c>
      <c r="G17" s="1"/>
      <c r="H17" s="30" t="s">
        <v>92</v>
      </c>
      <c r="I17" s="32">
        <v>8.0649999999999995</v>
      </c>
      <c r="J17" s="1"/>
      <c r="K17" s="30" t="s">
        <v>92</v>
      </c>
      <c r="L17" s="32">
        <v>8.1050000000000004</v>
      </c>
      <c r="N17" s="35" t="s">
        <v>107</v>
      </c>
      <c r="O17" s="36">
        <v>8.4809999999999999</v>
      </c>
      <c r="P17" s="34"/>
      <c r="Q17" s="35" t="s">
        <v>107</v>
      </c>
      <c r="R17" s="36">
        <v>8.4320000000000004</v>
      </c>
      <c r="S17" s="34"/>
      <c r="T17" s="35" t="s">
        <v>107</v>
      </c>
      <c r="U17" s="36">
        <v>8.4809999999999999</v>
      </c>
      <c r="V17" s="34"/>
      <c r="W17" s="35" t="s">
        <v>107</v>
      </c>
      <c r="X17" s="36">
        <v>8.4580000000000002</v>
      </c>
    </row>
    <row r="18" spans="2:24" x14ac:dyDescent="0.4">
      <c r="B18" s="31" t="s">
        <v>93</v>
      </c>
      <c r="C18" s="2">
        <v>8.3680000000000003</v>
      </c>
      <c r="D18" s="1"/>
      <c r="E18" s="31" t="s">
        <v>93</v>
      </c>
      <c r="F18" s="2">
        <v>8.4090000000000007</v>
      </c>
      <c r="G18" s="1"/>
      <c r="H18" s="31" t="s">
        <v>93</v>
      </c>
      <c r="I18" s="2">
        <v>8.0760000000000005</v>
      </c>
      <c r="J18" s="1"/>
      <c r="K18" s="31" t="s">
        <v>93</v>
      </c>
      <c r="L18" s="2">
        <v>8.1129999999999995</v>
      </c>
      <c r="N18" s="30" t="s">
        <v>95</v>
      </c>
      <c r="O18" s="33">
        <v>8.4559999999999995</v>
      </c>
      <c r="P18" s="34"/>
      <c r="Q18" s="30" t="s">
        <v>95</v>
      </c>
      <c r="R18" s="33">
        <v>8.423</v>
      </c>
      <c r="S18" s="34"/>
      <c r="T18" s="30" t="s">
        <v>95</v>
      </c>
      <c r="U18" s="33">
        <v>5.5910000000000002</v>
      </c>
      <c r="V18" s="34"/>
      <c r="W18" s="30" t="s">
        <v>95</v>
      </c>
      <c r="X18" s="33">
        <v>8.4039999999999999</v>
      </c>
    </row>
    <row r="19" spans="2:24" x14ac:dyDescent="0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33" t="s">
        <v>108</v>
      </c>
      <c r="O19" s="33">
        <v>6.1520000000000001</v>
      </c>
      <c r="Q19" s="33" t="s">
        <v>108</v>
      </c>
      <c r="R19" s="33">
        <v>6.1079999999999997</v>
      </c>
      <c r="T19" s="33" t="s">
        <v>108</v>
      </c>
      <c r="U19" s="33">
        <v>6.1520000000000001</v>
      </c>
      <c r="W19" s="33" t="s">
        <v>108</v>
      </c>
      <c r="X19" s="33">
        <v>6.16</v>
      </c>
    </row>
    <row r="20" spans="2:24" x14ac:dyDescent="0.4">
      <c r="B20" s="29" t="s">
        <v>100</v>
      </c>
      <c r="C20" s="5" t="s">
        <v>101</v>
      </c>
      <c r="D20" s="1"/>
      <c r="E20" s="29" t="s">
        <v>100</v>
      </c>
      <c r="F20" s="5" t="s">
        <v>101</v>
      </c>
      <c r="G20" s="1"/>
      <c r="H20" s="29" t="s">
        <v>100</v>
      </c>
      <c r="I20" s="5" t="s">
        <v>101</v>
      </c>
      <c r="J20" s="1"/>
      <c r="K20" s="29" t="s">
        <v>100</v>
      </c>
      <c r="L20" s="5" t="s">
        <v>101</v>
      </c>
      <c r="N20" s="3" t="s">
        <v>109</v>
      </c>
      <c r="O20" s="3">
        <v>6.7640000000000002</v>
      </c>
      <c r="Q20" s="3" t="s">
        <v>109</v>
      </c>
      <c r="R20" s="3">
        <v>6.7869999999999999</v>
      </c>
      <c r="T20" s="3" t="s">
        <v>109</v>
      </c>
      <c r="U20" s="3">
        <v>3.8479999999999999</v>
      </c>
      <c r="W20" s="3" t="s">
        <v>109</v>
      </c>
      <c r="X20" s="3">
        <v>6.782</v>
      </c>
    </row>
    <row r="21" spans="2:24" x14ac:dyDescent="0.4">
      <c r="B21" s="30" t="s">
        <v>95</v>
      </c>
      <c r="C21" s="32">
        <v>11.07</v>
      </c>
      <c r="D21" s="1"/>
      <c r="E21" s="30" t="s">
        <v>95</v>
      </c>
      <c r="F21" s="32">
        <v>11.093999999999999</v>
      </c>
      <c r="G21" s="1"/>
      <c r="H21" s="30" t="s">
        <v>95</v>
      </c>
      <c r="I21" s="32">
        <v>8.2750000000000004</v>
      </c>
      <c r="J21" s="1"/>
      <c r="K21" s="30" t="s">
        <v>95</v>
      </c>
      <c r="L21" s="32">
        <v>10.993</v>
      </c>
    </row>
    <row r="22" spans="2:24" x14ac:dyDescent="0.4">
      <c r="B22" s="31" t="s">
        <v>96</v>
      </c>
      <c r="C22" s="2">
        <v>13.118</v>
      </c>
      <c r="D22" s="1"/>
      <c r="E22" s="31" t="s">
        <v>96</v>
      </c>
      <c r="F22" s="2">
        <v>10.94</v>
      </c>
      <c r="G22" s="1"/>
      <c r="H22" s="31" t="s">
        <v>96</v>
      </c>
      <c r="I22" s="2">
        <v>8.5589999999999993</v>
      </c>
      <c r="J22" s="1"/>
      <c r="K22" s="31" t="s">
        <v>96</v>
      </c>
      <c r="L22" s="2">
        <v>10.993</v>
      </c>
      <c r="N22" s="37" t="s">
        <v>110</v>
      </c>
      <c r="O22" s="37"/>
      <c r="Q22" s="37" t="s">
        <v>70</v>
      </c>
      <c r="R22" s="37"/>
      <c r="T22" s="37" t="s">
        <v>111</v>
      </c>
      <c r="U22" s="37"/>
      <c r="W22" s="37" t="s">
        <v>70</v>
      </c>
      <c r="X22" s="37"/>
    </row>
    <row r="25" spans="2:24" x14ac:dyDescent="0.4">
      <c r="B25" s="6" t="s">
        <v>102</v>
      </c>
      <c r="C25" s="5" t="s">
        <v>99</v>
      </c>
      <c r="E25" s="6" t="s">
        <v>103</v>
      </c>
      <c r="F25" s="5" t="s">
        <v>99</v>
      </c>
      <c r="H25" s="6" t="s">
        <v>85</v>
      </c>
      <c r="I25" s="5" t="s">
        <v>99</v>
      </c>
      <c r="K25" s="6" t="s">
        <v>104</v>
      </c>
      <c r="L25" s="5" t="s">
        <v>99</v>
      </c>
      <c r="N25" s="9" t="s">
        <v>102</v>
      </c>
      <c r="O25" s="8"/>
      <c r="Q25" s="9" t="s">
        <v>103</v>
      </c>
      <c r="R25" s="8"/>
      <c r="T25" s="9" t="s">
        <v>85</v>
      </c>
      <c r="U25" s="8"/>
      <c r="W25" s="9" t="s">
        <v>104</v>
      </c>
      <c r="X25" s="8"/>
    </row>
    <row r="26" spans="2:24" x14ac:dyDescent="0.4">
      <c r="B26" s="30" t="s">
        <v>90</v>
      </c>
      <c r="C26" s="32">
        <v>8.4760000000000009</v>
      </c>
      <c r="E26" s="30" t="s">
        <v>90</v>
      </c>
      <c r="F26" s="32">
        <v>8.5120000000000005</v>
      </c>
      <c r="H26" s="30" t="s">
        <v>90</v>
      </c>
      <c r="I26" s="32">
        <v>8.5519999999999996</v>
      </c>
      <c r="K26" s="30" t="s">
        <v>90</v>
      </c>
      <c r="L26" s="32">
        <v>8.5890000000000004</v>
      </c>
      <c r="N26" s="29" t="s">
        <v>100</v>
      </c>
      <c r="O26" s="5" t="s">
        <v>101</v>
      </c>
      <c r="Q26" s="29" t="s">
        <v>100</v>
      </c>
      <c r="R26" s="5" t="s">
        <v>101</v>
      </c>
      <c r="T26" s="29" t="s">
        <v>100</v>
      </c>
      <c r="U26" s="5" t="s">
        <v>101</v>
      </c>
      <c r="W26" s="29" t="s">
        <v>100</v>
      </c>
      <c r="X26" s="5" t="s">
        <v>101</v>
      </c>
    </row>
    <row r="27" spans="2:24" x14ac:dyDescent="0.4">
      <c r="B27" s="30" t="s">
        <v>91</v>
      </c>
      <c r="C27" s="32">
        <v>8.484</v>
      </c>
      <c r="E27" s="30" t="s">
        <v>91</v>
      </c>
      <c r="F27" s="33">
        <v>8.5229999999999997</v>
      </c>
      <c r="H27" s="30" t="s">
        <v>91</v>
      </c>
      <c r="I27" s="33">
        <v>8.56</v>
      </c>
      <c r="K27" s="30" t="s">
        <v>91</v>
      </c>
      <c r="L27" s="33">
        <v>8.5969999999999995</v>
      </c>
      <c r="N27" s="30" t="s">
        <v>95</v>
      </c>
      <c r="O27" s="32">
        <v>6.2190000000000003</v>
      </c>
      <c r="Q27" s="30" t="s">
        <v>95</v>
      </c>
      <c r="R27" s="32">
        <v>8.9789999999999992</v>
      </c>
      <c r="T27" s="30" t="s">
        <v>95</v>
      </c>
      <c r="U27" s="32">
        <v>6.14</v>
      </c>
      <c r="W27" s="30" t="s">
        <v>95</v>
      </c>
      <c r="X27" s="32">
        <v>6.14</v>
      </c>
    </row>
    <row r="28" spans="2:24" ht="19.5" thickBot="1" x14ac:dyDescent="0.45">
      <c r="B28" s="30" t="s">
        <v>94</v>
      </c>
      <c r="C28" s="32">
        <v>8.5039999999999996</v>
      </c>
      <c r="E28" s="30" t="s">
        <v>94</v>
      </c>
      <c r="F28" s="32">
        <v>8.5410000000000004</v>
      </c>
      <c r="H28" s="30" t="s">
        <v>94</v>
      </c>
      <c r="I28" s="33">
        <v>8.5790000000000006</v>
      </c>
      <c r="K28" s="30" t="s">
        <v>94</v>
      </c>
      <c r="L28" s="32">
        <v>8.6159999999999997</v>
      </c>
      <c r="N28" s="30" t="s">
        <v>96</v>
      </c>
      <c r="O28" s="32">
        <v>11.012</v>
      </c>
      <c r="Q28" s="30" t="s">
        <v>96</v>
      </c>
      <c r="R28" s="32">
        <v>12.865</v>
      </c>
      <c r="T28" s="30" t="s">
        <v>96</v>
      </c>
      <c r="U28" s="32">
        <v>11.641999999999999</v>
      </c>
      <c r="W28" s="30" t="s">
        <v>96</v>
      </c>
      <c r="X28" s="32">
        <v>10.608000000000001</v>
      </c>
    </row>
    <row r="29" spans="2:24" ht="19.5" thickTop="1" x14ac:dyDescent="0.4">
      <c r="B29" s="30" t="s">
        <v>92</v>
      </c>
      <c r="C29" s="32">
        <v>8.5120000000000005</v>
      </c>
      <c r="E29" s="30" t="s">
        <v>92</v>
      </c>
      <c r="F29" s="32">
        <v>8.5519999999999996</v>
      </c>
      <c r="H29" s="30" t="s">
        <v>92</v>
      </c>
      <c r="I29" s="32">
        <v>8.5890000000000004</v>
      </c>
      <c r="K29" s="30" t="s">
        <v>92</v>
      </c>
      <c r="L29" s="32">
        <v>8.6240000000000006</v>
      </c>
      <c r="N29" s="35" t="s">
        <v>107</v>
      </c>
      <c r="O29" s="36">
        <v>8.4039999999999999</v>
      </c>
      <c r="P29" s="34"/>
      <c r="Q29" s="35" t="s">
        <v>107</v>
      </c>
      <c r="R29" s="36">
        <v>8.4039999999999999</v>
      </c>
      <c r="S29" s="34"/>
      <c r="T29" s="35" t="s">
        <v>107</v>
      </c>
      <c r="U29" s="36">
        <v>8.4039999999999999</v>
      </c>
      <c r="V29" s="34"/>
      <c r="W29" s="35" t="s">
        <v>107</v>
      </c>
      <c r="X29" s="36">
        <v>8.4320000000000004</v>
      </c>
    </row>
    <row r="30" spans="2:24" x14ac:dyDescent="0.4">
      <c r="B30" s="31" t="s">
        <v>93</v>
      </c>
      <c r="C30" s="2">
        <v>8.5229999999999997</v>
      </c>
      <c r="E30" s="31" t="s">
        <v>93</v>
      </c>
      <c r="F30" s="2">
        <v>8.56</v>
      </c>
      <c r="H30" s="31" t="s">
        <v>93</v>
      </c>
      <c r="I30" s="2">
        <v>8.5969999999999995</v>
      </c>
      <c r="K30" s="31" t="s">
        <v>93</v>
      </c>
      <c r="L30" s="2">
        <v>8.6349999999999998</v>
      </c>
      <c r="N30" s="30" t="s">
        <v>95</v>
      </c>
      <c r="O30" s="33">
        <v>5.6440000000000001</v>
      </c>
      <c r="P30" s="34"/>
      <c r="Q30" s="30" t="s">
        <v>95</v>
      </c>
      <c r="R30" s="33">
        <v>8.4039999999999999</v>
      </c>
      <c r="S30" s="34"/>
      <c r="T30" s="30" t="s">
        <v>95</v>
      </c>
      <c r="U30" s="33">
        <v>5.5650000000000004</v>
      </c>
      <c r="V30" s="34"/>
      <c r="W30" s="30" t="s">
        <v>95</v>
      </c>
      <c r="X30" s="33">
        <v>5.5650000000000004</v>
      </c>
    </row>
    <row r="31" spans="2:24" x14ac:dyDescent="0.4">
      <c r="B31" s="1"/>
      <c r="C31" s="1"/>
      <c r="E31" s="1"/>
      <c r="F31" s="1"/>
      <c r="H31" s="1"/>
      <c r="I31" s="1"/>
      <c r="K31" s="1"/>
      <c r="L31" s="1"/>
      <c r="N31" s="33" t="s">
        <v>108</v>
      </c>
      <c r="O31" s="33">
        <v>6.1269999999999998</v>
      </c>
      <c r="Q31" s="33" t="s">
        <v>108</v>
      </c>
      <c r="R31" s="33">
        <v>6.1589999999999998</v>
      </c>
      <c r="T31" s="33" t="s">
        <v>108</v>
      </c>
      <c r="U31" s="33">
        <v>6.1079999999999997</v>
      </c>
      <c r="W31" s="33" t="s">
        <v>108</v>
      </c>
      <c r="X31" s="33">
        <v>6.1079999999999997</v>
      </c>
    </row>
    <row r="32" spans="2:24" x14ac:dyDescent="0.4">
      <c r="B32" s="29" t="s">
        <v>100</v>
      </c>
      <c r="C32" s="5" t="s">
        <v>101</v>
      </c>
      <c r="E32" s="29" t="s">
        <v>100</v>
      </c>
      <c r="F32" s="5" t="s">
        <v>101</v>
      </c>
      <c r="H32" s="29" t="s">
        <v>100</v>
      </c>
      <c r="I32" s="5" t="s">
        <v>101</v>
      </c>
      <c r="K32" s="29" t="s">
        <v>100</v>
      </c>
      <c r="L32" s="5" t="s">
        <v>101</v>
      </c>
      <c r="N32" s="3" t="s">
        <v>109</v>
      </c>
      <c r="O32" s="3">
        <v>3.8759999999999999</v>
      </c>
      <c r="Q32" s="3" t="s">
        <v>109</v>
      </c>
      <c r="R32" s="3">
        <v>6.7060000000000004</v>
      </c>
      <c r="T32" s="3" t="s">
        <v>109</v>
      </c>
      <c r="U32" s="3">
        <v>3.9020000000000001</v>
      </c>
      <c r="W32" s="3" t="s">
        <v>109</v>
      </c>
      <c r="X32" s="3">
        <v>3.8479999999999999</v>
      </c>
    </row>
    <row r="33" spans="2:24" x14ac:dyDescent="0.4">
      <c r="B33" s="30" t="s">
        <v>95</v>
      </c>
      <c r="C33" s="32">
        <v>8.1999999999999993</v>
      </c>
      <c r="E33" s="30" t="s">
        <v>95</v>
      </c>
      <c r="F33" s="32">
        <v>11.021000000000001</v>
      </c>
      <c r="H33" s="30" t="s">
        <v>95</v>
      </c>
      <c r="I33" s="32">
        <v>8.2260000000000009</v>
      </c>
      <c r="K33" s="30" t="s">
        <v>95</v>
      </c>
      <c r="L33" s="32">
        <v>8.2810000000000006</v>
      </c>
    </row>
    <row r="34" spans="2:24" x14ac:dyDescent="0.4">
      <c r="B34" s="31" t="s">
        <v>96</v>
      </c>
      <c r="C34" s="2">
        <v>8.6150000000000002</v>
      </c>
      <c r="E34" s="31" t="s">
        <v>96</v>
      </c>
      <c r="F34" s="2">
        <v>10.99</v>
      </c>
      <c r="H34" s="31" t="s">
        <v>96</v>
      </c>
      <c r="I34" s="2">
        <v>9.5359999999999996</v>
      </c>
      <c r="K34" s="31" t="s">
        <v>96</v>
      </c>
      <c r="L34" s="2">
        <v>8.7629999999999999</v>
      </c>
      <c r="N34" s="37" t="s">
        <v>111</v>
      </c>
      <c r="O34" s="37"/>
      <c r="Q34" s="37" t="s">
        <v>70</v>
      </c>
      <c r="R34" s="37"/>
      <c r="T34" s="37" t="s">
        <v>112</v>
      </c>
      <c r="U34" s="37"/>
      <c r="W34" s="37" t="s">
        <v>87</v>
      </c>
      <c r="X34" s="37"/>
    </row>
    <row r="36" spans="2:24" x14ac:dyDescent="0.4">
      <c r="V36" s="1" t="s">
        <v>113</v>
      </c>
    </row>
  </sheetData>
  <mergeCells count="8">
    <mergeCell ref="W34:X34"/>
    <mergeCell ref="T34:U34"/>
    <mergeCell ref="Q34:R34"/>
    <mergeCell ref="N34:O34"/>
    <mergeCell ref="W22:X22"/>
    <mergeCell ref="T22:U22"/>
    <mergeCell ref="Q22:R22"/>
    <mergeCell ref="N22:O2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BB95-A51A-4146-83EC-20D7A1B0BC2B}">
  <dimension ref="B1:B2"/>
  <sheetViews>
    <sheetView workbookViewId="0">
      <selection activeCell="B6" sqref="B6"/>
    </sheetView>
  </sheetViews>
  <sheetFormatPr defaultRowHeight="18.75" x14ac:dyDescent="0.4"/>
  <sheetData>
    <row r="1" spans="2:2" x14ac:dyDescent="0.4">
      <c r="B1" t="s">
        <v>116</v>
      </c>
    </row>
    <row r="2" spans="2:2" x14ac:dyDescent="0.4">
      <c r="B2" t="s">
        <v>115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命令セット</vt:lpstr>
      <vt:lpstr>計測データ_Tf+Fr</vt:lpstr>
      <vt:lpstr>パケットごとの計測結果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mattya</dc:creator>
  <cp:lastModifiedBy>mattya</cp:lastModifiedBy>
  <dcterms:created xsi:type="dcterms:W3CDTF">2026-08-20T08:25:45Z</dcterms:created>
  <dcterms:modified xsi:type="dcterms:W3CDTF">2026-08-28T10:05:44Z</dcterms:modified>
</cp:coreProperties>
</file>