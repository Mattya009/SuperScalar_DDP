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\4B_Research\Matuzaka\"/>
    </mc:Choice>
  </mc:AlternateContent>
  <xr:revisionPtr revIDLastSave="0" documentId="13_ncr:1_{C23D4B00-7D68-440F-84A6-CAEA1EB4A73D}" xr6:coauthVersionLast="47" xr6:coauthVersionMax="47" xr10:uidLastSave="{00000000-0000-0000-0000-000000000000}"/>
  <bookViews>
    <workbookView xWindow="-120" yWindow="-120" windowWidth="29040" windowHeight="15720" xr2:uid="{F1F53AA8-65ED-4A5B-ABDC-75B8EBF75338}"/>
  </bookViews>
  <sheets>
    <sheet name="Sheet1" sheetId="1" r:id="rId1"/>
    <sheet name="測定結果" sheetId="2" r:id="rId2"/>
    <sheet name="FPにおける計測結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E14" i="1"/>
  <c r="E16" i="1"/>
  <c r="E27" i="1"/>
  <c r="E29" i="1"/>
  <c r="E30" i="1"/>
  <c r="E32" i="1"/>
  <c r="E42" i="1"/>
  <c r="E46" i="1"/>
  <c r="E48" i="1"/>
  <c r="E58" i="1"/>
  <c r="E59" i="1"/>
  <c r="E63" i="1"/>
  <c r="E64" i="1"/>
  <c r="B3" i="1"/>
  <c r="B4" i="1"/>
  <c r="B5" i="1"/>
  <c r="N5" i="1" s="1"/>
  <c r="B6" i="1"/>
  <c r="N6" i="1" s="1"/>
  <c r="B7" i="1"/>
  <c r="B8" i="1"/>
  <c r="B9" i="1"/>
  <c r="B10" i="1"/>
  <c r="N10" i="1" s="1"/>
  <c r="B11" i="1"/>
  <c r="N11" i="1" s="1"/>
  <c r="B12" i="1"/>
  <c r="N12" i="1" s="1"/>
  <c r="B13" i="1"/>
  <c r="N13" i="1" s="1"/>
  <c r="B14" i="1"/>
  <c r="N14" i="1" s="1"/>
  <c r="B15" i="1"/>
  <c r="N15" i="1" s="1"/>
  <c r="B16" i="1"/>
  <c r="N16" i="1" s="1"/>
  <c r="B17" i="1"/>
  <c r="B18" i="1"/>
  <c r="N18" i="1" s="1"/>
  <c r="B19" i="1"/>
  <c r="B20" i="1"/>
  <c r="B21" i="1"/>
  <c r="N21" i="1" s="1"/>
  <c r="B22" i="1"/>
  <c r="B23" i="1"/>
  <c r="B24" i="1"/>
  <c r="N24" i="1" s="1"/>
  <c r="B25" i="1"/>
  <c r="B26" i="1"/>
  <c r="N26" i="1" s="1"/>
  <c r="B27" i="1"/>
  <c r="N27" i="1" s="1"/>
  <c r="B28" i="1"/>
  <c r="N28" i="1" s="1"/>
  <c r="B29" i="1"/>
  <c r="N29" i="1" s="1"/>
  <c r="B30" i="1"/>
  <c r="N30" i="1" s="1"/>
  <c r="B31" i="1"/>
  <c r="N31" i="1" s="1"/>
  <c r="B32" i="1"/>
  <c r="N32" i="1" s="1"/>
  <c r="B33" i="1"/>
  <c r="B34" i="1"/>
  <c r="N34" i="1" s="1"/>
  <c r="B35" i="1"/>
  <c r="B36" i="1"/>
  <c r="B37" i="1"/>
  <c r="N37" i="1" s="1"/>
  <c r="B38" i="1"/>
  <c r="N38" i="1" s="1"/>
  <c r="B39" i="1"/>
  <c r="B40" i="1"/>
  <c r="N40" i="1" s="1"/>
  <c r="B41" i="1"/>
  <c r="B42" i="1"/>
  <c r="N42" i="1" s="1"/>
  <c r="B43" i="1"/>
  <c r="N43" i="1" s="1"/>
  <c r="B44" i="1"/>
  <c r="N44" i="1" s="1"/>
  <c r="B45" i="1"/>
  <c r="N45" i="1" s="1"/>
  <c r="B46" i="1"/>
  <c r="N46" i="1" s="1"/>
  <c r="B47" i="1"/>
  <c r="N47" i="1" s="1"/>
  <c r="B48" i="1"/>
  <c r="N48" i="1" s="1"/>
  <c r="B49" i="1"/>
  <c r="B50" i="1"/>
  <c r="N50" i="1" s="1"/>
  <c r="B51" i="1"/>
  <c r="B52" i="1"/>
  <c r="N52" i="1" s="1"/>
  <c r="B53" i="1"/>
  <c r="N53" i="1" s="1"/>
  <c r="B54" i="1"/>
  <c r="B55" i="1"/>
  <c r="B56" i="1"/>
  <c r="B57" i="1"/>
  <c r="B58" i="1"/>
  <c r="N58" i="1" s="1"/>
  <c r="B59" i="1"/>
  <c r="N59" i="1" s="1"/>
  <c r="B60" i="1"/>
  <c r="N60" i="1" s="1"/>
  <c r="B61" i="1"/>
  <c r="N61" i="1" s="1"/>
  <c r="B62" i="1"/>
  <c r="N62" i="1" s="1"/>
  <c r="B63" i="1"/>
  <c r="N63" i="1" s="1"/>
  <c r="B64" i="1"/>
  <c r="N64" i="1" s="1"/>
  <c r="B65" i="1"/>
  <c r="E65" i="1" s="1"/>
  <c r="B2" i="1"/>
  <c r="N2" i="1" s="1"/>
  <c r="E44" i="1" l="1"/>
  <c r="E43" i="1"/>
  <c r="E31" i="1"/>
  <c r="E8" i="1"/>
  <c r="N8" i="1"/>
  <c r="E62" i="1"/>
  <c r="E28" i="1"/>
  <c r="E57" i="1"/>
  <c r="N57" i="1"/>
  <c r="E25" i="1"/>
  <c r="N25" i="1"/>
  <c r="E9" i="1"/>
  <c r="N9" i="1"/>
  <c r="E56" i="1"/>
  <c r="N56" i="1"/>
  <c r="E55" i="1"/>
  <c r="N55" i="1"/>
  <c r="E39" i="1"/>
  <c r="N39" i="1"/>
  <c r="E23" i="1"/>
  <c r="N23" i="1"/>
  <c r="E7" i="1"/>
  <c r="N7" i="1"/>
  <c r="E61" i="1"/>
  <c r="E54" i="1"/>
  <c r="N54" i="1"/>
  <c r="E22" i="1"/>
  <c r="N22" i="1"/>
  <c r="E60" i="1"/>
  <c r="E26" i="1"/>
  <c r="E36" i="1"/>
  <c r="N36" i="1"/>
  <c r="E20" i="1"/>
  <c r="N20" i="1"/>
  <c r="E4" i="1"/>
  <c r="N4" i="1"/>
  <c r="E15" i="1"/>
  <c r="E51" i="1"/>
  <c r="N51" i="1"/>
  <c r="E35" i="1"/>
  <c r="N35" i="1"/>
  <c r="E19" i="1"/>
  <c r="N19" i="1"/>
  <c r="E3" i="1"/>
  <c r="N3" i="1"/>
  <c r="E47" i="1"/>
  <c r="E13" i="1"/>
  <c r="E41" i="1"/>
  <c r="N41" i="1"/>
  <c r="E49" i="1"/>
  <c r="N49" i="1"/>
  <c r="E33" i="1"/>
  <c r="N33" i="1"/>
  <c r="E17" i="1"/>
  <c r="N17" i="1"/>
  <c r="E12" i="1"/>
  <c r="E45" i="1"/>
  <c r="E11" i="1"/>
  <c r="E53" i="1"/>
  <c r="E37" i="1"/>
  <c r="E5" i="1"/>
  <c r="E24" i="1"/>
  <c r="E21" i="1"/>
  <c r="E52" i="1"/>
  <c r="E50" i="1"/>
  <c r="E34" i="1"/>
  <c r="E18" i="1"/>
  <c r="E2" i="1"/>
  <c r="E40" i="1"/>
  <c r="E38" i="1"/>
  <c r="E6" i="1"/>
</calcChain>
</file>

<file path=xl/sharedStrings.xml><?xml version="1.0" encoding="utf-8"?>
<sst xmlns="http://schemas.openxmlformats.org/spreadsheetml/2006/main" count="432" uniqueCount="200">
  <si>
    <t>係数</t>
    <rPh sb="0" eb="2">
      <t>ケイスウ</t>
    </rPh>
    <phoneticPr fontId="1"/>
  </si>
  <si>
    <t>4C0,</t>
  </si>
  <si>
    <t>C87,</t>
  </si>
  <si>
    <t>14C0,</t>
  </si>
  <si>
    <t>1088,</t>
  </si>
  <si>
    <t>FC00,</t>
  </si>
  <si>
    <t>1C87,</t>
  </si>
  <si>
    <t>28C0,</t>
  </si>
  <si>
    <t>2088,</t>
  </si>
  <si>
    <t>2480,</t>
  </si>
  <si>
    <t>12AA,</t>
  </si>
  <si>
    <t>3087,</t>
  </si>
  <si>
    <t>3CC0,</t>
  </si>
  <si>
    <t>3488,</t>
  </si>
  <si>
    <t>3880,</t>
  </si>
  <si>
    <t>22AA,</t>
  </si>
  <si>
    <t>4487,</t>
  </si>
  <si>
    <t>50C0,</t>
  </si>
  <si>
    <t>4888,</t>
  </si>
  <si>
    <t>4C80,</t>
  </si>
  <si>
    <t>36AA,</t>
  </si>
  <si>
    <t>5887,</t>
  </si>
  <si>
    <t>64C0,</t>
  </si>
  <si>
    <t>5C88,</t>
  </si>
  <si>
    <t>6080,</t>
  </si>
  <si>
    <t>4AAA,</t>
  </si>
  <si>
    <t>6C87,</t>
  </si>
  <si>
    <t>78C0,</t>
  </si>
  <si>
    <t>7088,</t>
  </si>
  <si>
    <t>7480,</t>
  </si>
  <si>
    <t>5EAA,</t>
  </si>
  <si>
    <t>8087,</t>
  </si>
  <si>
    <t>8CC0,</t>
  </si>
  <si>
    <t>8488,</t>
  </si>
  <si>
    <t>8880,</t>
  </si>
  <si>
    <t>72AA,</t>
  </si>
  <si>
    <t>9487,</t>
  </si>
  <si>
    <t>A0C0,</t>
  </si>
  <si>
    <t>9888,</t>
  </si>
  <si>
    <t>9C80,</t>
  </si>
  <si>
    <t>86AA,</t>
  </si>
  <si>
    <t>A887,</t>
  </si>
  <si>
    <t>B4C0,</t>
  </si>
  <si>
    <t>AC88,</t>
  </si>
  <si>
    <t>B080,</t>
  </si>
  <si>
    <t>9AAA,</t>
  </si>
  <si>
    <t>BC87,</t>
  </si>
  <si>
    <t>C8C0,</t>
  </si>
  <si>
    <t>C088,</t>
  </si>
  <si>
    <t>C480,</t>
  </si>
  <si>
    <t>AEAA,</t>
  </si>
  <si>
    <t>D087,</t>
  </si>
  <si>
    <t>DCC0,</t>
  </si>
  <si>
    <t>D488,</t>
  </si>
  <si>
    <t>D880,</t>
  </si>
  <si>
    <t>C2AA,</t>
  </si>
  <si>
    <t>E487,</t>
  </si>
  <si>
    <t>F087,</t>
  </si>
  <si>
    <t>E888,</t>
  </si>
  <si>
    <t>EC80,</t>
  </si>
  <si>
    <t>D6AA,</t>
  </si>
  <si>
    <t>F488,</t>
  </si>
  <si>
    <t>EAAA;</t>
  </si>
  <si>
    <t>dest</t>
    <phoneticPr fontId="1"/>
  </si>
  <si>
    <t>LR2</t>
    <phoneticPr fontId="1"/>
  </si>
  <si>
    <t>BR</t>
    <phoneticPr fontId="1"/>
  </si>
  <si>
    <t>CPY</t>
    <phoneticPr fontId="1"/>
  </si>
  <si>
    <t>OPC</t>
    <phoneticPr fontId="1"/>
  </si>
  <si>
    <t>C</t>
    <phoneticPr fontId="1"/>
  </si>
  <si>
    <t>ADD</t>
    <phoneticPr fontId="1"/>
  </si>
  <si>
    <t>MUL</t>
    <phoneticPr fontId="1"/>
  </si>
  <si>
    <t>SHL</t>
    <phoneticPr fontId="1"/>
  </si>
  <si>
    <t>ADDGEN</t>
    <phoneticPr fontId="1"/>
  </si>
  <si>
    <t>遅延素子が4nsと2nsの場合</t>
    <rPh sb="0" eb="4">
      <t>チエンソシ</t>
    </rPh>
    <rPh sb="13" eb="15">
      <t>バアイ</t>
    </rPh>
    <phoneticPr fontId="1"/>
  </si>
  <si>
    <t>遅延素子が10nsと5nsの場合</t>
    <rPh sb="0" eb="2">
      <t>チエン</t>
    </rPh>
    <rPh sb="2" eb="4">
      <t>ソシ</t>
    </rPh>
    <rPh sb="14" eb="16">
      <t>バアイ</t>
    </rPh>
    <phoneticPr fontId="1"/>
  </si>
  <si>
    <t>ce</t>
    <phoneticPr fontId="1"/>
  </si>
  <si>
    <t>00</t>
    <phoneticPr fontId="1"/>
  </si>
  <si>
    <t>04</t>
    <phoneticPr fontId="1"/>
  </si>
  <si>
    <t>3e</t>
    <phoneticPr fontId="1"/>
  </si>
  <si>
    <t>ba</t>
    <phoneticPr fontId="1"/>
  </si>
  <si>
    <t>e6</t>
    <phoneticPr fontId="1"/>
  </si>
  <si>
    <t>a4</t>
    <phoneticPr fontId="1"/>
  </si>
  <si>
    <t>a8</t>
    <phoneticPr fontId="1"/>
  </si>
  <si>
    <t>以降a8</t>
    <rPh sb="0" eb="2">
      <t>イコウ</t>
    </rPh>
    <phoneticPr fontId="1"/>
  </si>
  <si>
    <t>16bit
測定結果</t>
    <rPh sb="6" eb="10">
      <t>ソクテイケッカ</t>
    </rPh>
    <phoneticPr fontId="1"/>
  </si>
  <si>
    <t>32bit
測定結果</t>
    <rPh sb="6" eb="8">
      <t>ソクテイ</t>
    </rPh>
    <rPh sb="8" eb="10">
      <t>ケッカ</t>
    </rPh>
    <phoneticPr fontId="1"/>
  </si>
  <si>
    <t>従来のDDP
(遅延素子が4ns,2ns)</t>
    <rPh sb="0" eb="2">
      <t>ジュウライ</t>
    </rPh>
    <rPh sb="8" eb="10">
      <t>チエン</t>
    </rPh>
    <rPh sb="10" eb="12">
      <t>ソシ</t>
    </rPh>
    <phoneticPr fontId="1"/>
  </si>
  <si>
    <t>松坂DDP
(遅延素子が10ns,5ns?)</t>
    <rPh sb="0" eb="2">
      <t>マツザカ</t>
    </rPh>
    <rPh sb="7" eb="11">
      <t>チエンソシ</t>
    </rPh>
    <phoneticPr fontId="1"/>
  </si>
  <si>
    <t>16</t>
    <phoneticPr fontId="1"/>
  </si>
  <si>
    <t>B0</t>
    <phoneticPr fontId="1"/>
  </si>
  <si>
    <t>b0</t>
    <phoneticPr fontId="1"/>
  </si>
  <si>
    <t>64</t>
    <phoneticPr fontId="1"/>
  </si>
  <si>
    <t>90</t>
    <phoneticPr fontId="1"/>
  </si>
  <si>
    <t>c2</t>
    <phoneticPr fontId="1"/>
  </si>
  <si>
    <t>6e</t>
    <phoneticPr fontId="1"/>
  </si>
  <si>
    <t>da</t>
    <phoneticPr fontId="1"/>
  </si>
  <si>
    <t>02</t>
    <phoneticPr fontId="1"/>
  </si>
  <si>
    <t>a2</t>
    <phoneticPr fontId="1"/>
  </si>
  <si>
    <t>PS_DATA</t>
    <phoneticPr fontId="1"/>
  </si>
  <si>
    <t>松坂FP_PACKET_OUT</t>
    <rPh sb="0" eb="2">
      <t>マツザカ</t>
    </rPh>
    <phoneticPr fontId="1"/>
  </si>
  <si>
    <t>長崎FP_PACKET_IN</t>
    <rPh sb="0" eb="2">
      <t>ナガサキ</t>
    </rPh>
    <phoneticPr fontId="1"/>
  </si>
  <si>
    <t>松坂FP_PACKET_IN</t>
    <rPh sb="0" eb="2">
      <t>マツザカ</t>
    </rPh>
    <phoneticPr fontId="1"/>
  </si>
  <si>
    <t>長崎FP_PACKET_OUT</t>
    <rPh sb="0" eb="2">
      <t>ナガサキ</t>
    </rPh>
    <phoneticPr fontId="1"/>
  </si>
  <si>
    <t>03b8130000000000</t>
  </si>
  <si>
    <t>03b8130000000000</t>
    <phoneticPr fontId="1"/>
  </si>
  <si>
    <t>0ee04d0000</t>
  </si>
  <si>
    <t>03b8321d0000fc67</t>
  </si>
  <si>
    <t>0ee0c90000</t>
  </si>
  <si>
    <t>03b8530100000000</t>
  </si>
  <si>
    <t>03b8530100000000</t>
    <phoneticPr fontId="1"/>
  </si>
  <si>
    <t>0ee14d0000</t>
  </si>
  <si>
    <t>0ee14d0000</t>
    <phoneticPr fontId="1"/>
  </si>
  <si>
    <t>03b8422100000001</t>
  </si>
  <si>
    <t>0ee1090000</t>
  </si>
  <si>
    <t>03b8721d00000000</t>
  </si>
  <si>
    <t>0ee1c90000</t>
  </si>
  <si>
    <t>03b8a30100000000</t>
  </si>
  <si>
    <t>0ee28d0000</t>
  </si>
  <si>
    <t>03bbf00000000000</t>
  </si>
  <si>
    <t>0eefc10000</t>
  </si>
  <si>
    <t>03b8822100000001</t>
  </si>
  <si>
    <t>03b8822100000001</t>
    <phoneticPr fontId="1"/>
  </si>
  <si>
    <t>0ee2090000</t>
  </si>
  <si>
    <t>03b8c21d00000565</t>
  </si>
  <si>
    <t>0ee3090000</t>
  </si>
  <si>
    <t>03b8f30100000000</t>
  </si>
  <si>
    <t>03b8f30100000000</t>
    <phoneticPr fontId="1"/>
  </si>
  <si>
    <t>0ee3cd0000</t>
  </si>
  <si>
    <t>03b8920000000000</t>
  </si>
  <si>
    <t>0ee2490000</t>
  </si>
  <si>
    <t>03b8d22100000001</t>
  </si>
  <si>
    <t>0ee3490000</t>
  </si>
  <si>
    <t>03b9121d00000ba3</t>
  </si>
  <si>
    <t>0ee4490000</t>
  </si>
  <si>
    <t>03b9430100000000</t>
  </si>
  <si>
    <t>0ee50d0000</t>
  </si>
  <si>
    <t>03b84aa900000001</t>
  </si>
  <si>
    <t>0f01290000</t>
  </si>
  <si>
    <t>03b8e20000000000</t>
  </si>
  <si>
    <t>0ee3890000</t>
  </si>
  <si>
    <t>03b9222100000001</t>
  </si>
  <si>
    <t>0ee4890000</t>
  </si>
  <si>
    <t>03b9621d00001175</t>
    <phoneticPr fontId="1"/>
  </si>
  <si>
    <t>0ee5890000</t>
  </si>
  <si>
    <t>03b9930100000000</t>
  </si>
  <si>
    <t>0ee64d0000</t>
  </si>
  <si>
    <t>03b88aa900000001</t>
    <phoneticPr fontId="1"/>
  </si>
  <si>
    <t>0f02290000</t>
  </si>
  <si>
    <t>03b9320000000000</t>
    <phoneticPr fontId="1"/>
  </si>
  <si>
    <t>0ee4c90000</t>
  </si>
  <si>
    <t>03b9722100000001</t>
  </si>
  <si>
    <t>0ee5c90000</t>
  </si>
  <si>
    <t>03b9b21d00001594</t>
  </si>
  <si>
    <t>0ee6c90000</t>
  </si>
  <si>
    <t>03b9e30100000000</t>
  </si>
  <si>
    <t>0ee78d0000</t>
  </si>
  <si>
    <t>03b8daa900000001</t>
    <phoneticPr fontId="1"/>
  </si>
  <si>
    <t>0f03690000</t>
  </si>
  <si>
    <t>03b9820000000000</t>
  </si>
  <si>
    <t>0ee6090000</t>
  </si>
  <si>
    <t>03b9c22100000001</t>
  </si>
  <si>
    <t>0ee7090000</t>
  </si>
  <si>
    <t>03ba021d00001711</t>
  </si>
  <si>
    <t>0ee8090000</t>
  </si>
  <si>
    <t>03ba330100000000</t>
  </si>
  <si>
    <t>0ee8cd0000</t>
  </si>
  <si>
    <t>03b8721d00000000</t>
    <phoneticPr fontId="1"/>
  </si>
  <si>
    <t>C87,</t>
    <phoneticPr fontId="1"/>
  </si>
  <si>
    <t>番号</t>
    <rPh sb="0" eb="2">
      <t>バンゴウ</t>
    </rPh>
    <phoneticPr fontId="1"/>
  </si>
  <si>
    <t>長崎DDP</t>
    <rPh sb="0" eb="2">
      <t>ナガサキ</t>
    </rPh>
    <phoneticPr fontId="1"/>
  </si>
  <si>
    <t>松坂DDP</t>
    <rPh sb="0" eb="2">
      <t>マツザカ</t>
    </rPh>
    <phoneticPr fontId="1"/>
  </si>
  <si>
    <t>FC</t>
    <phoneticPr fontId="1"/>
  </si>
  <si>
    <t>1C</t>
    <phoneticPr fontId="1"/>
  </si>
  <si>
    <t>3C</t>
    <phoneticPr fontId="1"/>
  </si>
  <si>
    <t>4C</t>
    <phoneticPr fontId="1"/>
  </si>
  <si>
    <t>5C</t>
    <phoneticPr fontId="1"/>
  </si>
  <si>
    <t>6C</t>
    <phoneticPr fontId="1"/>
  </si>
  <si>
    <t>8C</t>
    <phoneticPr fontId="1"/>
  </si>
  <si>
    <t>A0</t>
    <phoneticPr fontId="1"/>
  </si>
  <si>
    <t>9C</t>
    <phoneticPr fontId="1"/>
  </si>
  <si>
    <t>A8</t>
    <phoneticPr fontId="1"/>
  </si>
  <si>
    <t>B4</t>
    <phoneticPr fontId="1"/>
  </si>
  <si>
    <t>AC</t>
    <phoneticPr fontId="1"/>
  </si>
  <si>
    <t>BC</t>
    <phoneticPr fontId="1"/>
  </si>
  <si>
    <t>C8</t>
    <phoneticPr fontId="1"/>
  </si>
  <si>
    <t>C0</t>
    <phoneticPr fontId="1"/>
  </si>
  <si>
    <t>C4</t>
    <phoneticPr fontId="1"/>
  </si>
  <si>
    <t>D0</t>
    <phoneticPr fontId="1"/>
  </si>
  <si>
    <t>DC</t>
    <phoneticPr fontId="1"/>
  </si>
  <si>
    <t>D4</t>
    <phoneticPr fontId="1"/>
  </si>
  <si>
    <t>D8</t>
    <phoneticPr fontId="1"/>
  </si>
  <si>
    <t>E4</t>
    <phoneticPr fontId="1"/>
  </si>
  <si>
    <t>F0</t>
    <phoneticPr fontId="1"/>
  </si>
  <si>
    <t>E8</t>
    <phoneticPr fontId="1"/>
  </si>
  <si>
    <t>EC</t>
    <phoneticPr fontId="1"/>
  </si>
  <si>
    <t>F4</t>
    <phoneticPr fontId="1"/>
  </si>
  <si>
    <t>01</t>
    <phoneticPr fontId="1"/>
  </si>
  <si>
    <t>11</t>
    <phoneticPr fontId="1"/>
  </si>
  <si>
    <t>2C</t>
    <phoneticPr fontId="1"/>
  </si>
  <si>
    <t>7C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</si>
</sst>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19" xfId="0" applyBorder="1">
      <alignment vertical="center"/>
    </xf>
    <xf numFmtId="0" fontId="0" fillId="0" borderId="2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20" xfId="0" applyBorder="1">
      <alignment vertical="center"/>
    </xf>
    <xf numFmtId="0" fontId="0" fillId="0" borderId="17" xfId="0" applyBorder="1">
      <alignment vertical="center"/>
    </xf>
    <xf numFmtId="0" fontId="0" fillId="0" borderId="5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24"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F2D82-D072-40BC-9D29-7084BF392BA4}" name="テーブル1" displayName="テーブル1" ref="E1:K63" totalsRowShown="0" headerRowDxfId="23" dataDxfId="21" headerRowBorderDxfId="22" tableBorderDxfId="20" totalsRowBorderDxfId="19">
  <autoFilter ref="E1:K63" xr:uid="{B00F2D82-D072-40BC-9D29-7084BF392BA4}"/>
  <tableColumns count="7">
    <tableColumn id="1" xr3:uid="{55720F09-107F-4F4C-A112-2A4E62A7E784}" name="番号" dataDxfId="12">
      <calculatedColumnFormula>DEC2HEX($B2)</calculatedColumnFormula>
    </tableColumn>
    <tableColumn id="2" xr3:uid="{A4EB7614-BDE6-4EDE-90B0-807A174ADEDA}" name="PS_DATA" dataDxfId="18"/>
    <tableColumn id="3" xr3:uid="{4546FF61-AB0A-451C-A9A3-6B4B26C1AEC4}" name="dest" dataDxfId="17"/>
    <tableColumn id="4" xr3:uid="{AA699203-E2B4-4768-B7C3-FEC9022463E7}" name="LR2" dataDxfId="16"/>
    <tableColumn id="5" xr3:uid="{C311E48F-7A7F-421D-8859-05F796661C3E}" name="BR" dataDxfId="15"/>
    <tableColumn id="6" xr3:uid="{482EF7D2-C475-4D9F-BC1A-A192F6B4CBBD}" name="CPY" dataDxfId="14"/>
    <tableColumn id="7" xr3:uid="{AE935AE3-D912-4F40-826D-D6A3151E06AD}" name="OPC" dataDxfId="13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40B508-6170-4775-84DD-700E1C34A74E}" name="テーブル14" displayName="テーブル14" ref="N1:T64" totalsRowShown="0" headerRowDxfId="2" dataDxfId="1" headerRowBorderDxfId="10" tableBorderDxfId="11" totalsRowBorderDxfId="9">
  <autoFilter ref="N1:T64" xr:uid="{6C40B508-6170-4775-84DD-700E1C34A74E}"/>
  <tableColumns count="7">
    <tableColumn id="1" xr3:uid="{3AA917DF-0A54-4431-982B-E82FBAFE1BA3}" name="番号" dataDxfId="8">
      <calculatedColumnFormula>DEC2HEX(B2)</calculatedColumnFormula>
    </tableColumn>
    <tableColumn id="2" xr3:uid="{B90119CD-0680-4978-83F7-CF7B5F84AC35}" name="PS_DATA" dataDxfId="7"/>
    <tableColumn id="3" xr3:uid="{A5581157-355E-4E34-A8BB-D2147ED45A3D}" name="dest" dataDxfId="6"/>
    <tableColumn id="4" xr3:uid="{EE26C88C-0138-4C8A-914E-7D74564634E1}" name="LR2" dataDxfId="5"/>
    <tableColumn id="5" xr3:uid="{F86432C1-3190-407E-89CF-D3B837CE2E5C}" name="BR" dataDxfId="0"/>
    <tableColumn id="6" xr3:uid="{D22EF362-7717-4D29-9E43-96FD8332A3C9}" name="CPY" dataDxfId="4"/>
    <tableColumn id="7" xr3:uid="{CF7034FF-5767-4592-B0B5-5751FAB0DA7C}" name="OPC" dataDxfId="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8BEA-29FD-4EC8-8070-B8C17D61A182}">
  <dimension ref="A1:T67"/>
  <sheetViews>
    <sheetView tabSelected="1" topLeftCell="A13" workbookViewId="0">
      <selection activeCell="P36" sqref="P36"/>
    </sheetView>
  </sheetViews>
  <sheetFormatPr defaultRowHeight="18.75" x14ac:dyDescent="0.4"/>
  <cols>
    <col min="5" max="5" width="14" customWidth="1"/>
    <col min="6" max="6" width="10.25" customWidth="1"/>
    <col min="14" max="14" width="9" style="53"/>
    <col min="15" max="15" width="10.75" style="53" customWidth="1"/>
    <col min="16" max="17" width="9" style="53"/>
    <col min="18" max="18" width="9" style="19"/>
    <col min="19" max="20" width="9" style="53"/>
  </cols>
  <sheetData>
    <row r="1" spans="1:20" ht="19.5" thickBot="1" x14ac:dyDescent="0.45">
      <c r="A1" t="s">
        <v>0</v>
      </c>
      <c r="D1" t="s">
        <v>170</v>
      </c>
      <c r="E1" s="14" t="s">
        <v>168</v>
      </c>
      <c r="F1" s="15" t="s">
        <v>98</v>
      </c>
      <c r="G1" s="15" t="s">
        <v>63</v>
      </c>
      <c r="H1" s="15" t="s">
        <v>64</v>
      </c>
      <c r="I1" s="15" t="s">
        <v>65</v>
      </c>
      <c r="J1" s="15" t="s">
        <v>66</v>
      </c>
      <c r="K1" s="16" t="s">
        <v>67</v>
      </c>
      <c r="M1" t="s">
        <v>169</v>
      </c>
      <c r="N1" s="39" t="s">
        <v>168</v>
      </c>
      <c r="O1" s="40" t="s">
        <v>98</v>
      </c>
      <c r="P1" s="40" t="s">
        <v>63</v>
      </c>
      <c r="Q1" s="40" t="s">
        <v>64</v>
      </c>
      <c r="R1" s="34" t="s">
        <v>65</v>
      </c>
      <c r="S1" s="40" t="s">
        <v>66</v>
      </c>
      <c r="T1" s="41" t="s">
        <v>67</v>
      </c>
    </row>
    <row r="2" spans="1:20" x14ac:dyDescent="0.4">
      <c r="A2">
        <v>0</v>
      </c>
      <c r="B2">
        <f>4*A2</f>
        <v>0</v>
      </c>
      <c r="E2" s="2" t="str">
        <f t="shared" ref="E2:E33" si="0">DEC2HEX($B2)</f>
        <v>0</v>
      </c>
      <c r="F2" s="3" t="s">
        <v>1</v>
      </c>
      <c r="G2" s="3">
        <v>4</v>
      </c>
      <c r="H2" s="3">
        <v>0</v>
      </c>
      <c r="I2" s="3">
        <v>1</v>
      </c>
      <c r="J2" s="3">
        <v>1</v>
      </c>
      <c r="K2" s="4" t="s">
        <v>69</v>
      </c>
      <c r="N2" s="42" t="str">
        <f t="shared" ref="N2:N33" si="1">DEC2HEX(B2)</f>
        <v>0</v>
      </c>
      <c r="O2" s="43"/>
      <c r="P2" s="43">
        <v>4</v>
      </c>
      <c r="Q2" s="43">
        <v>0</v>
      </c>
      <c r="R2" s="35">
        <v>11</v>
      </c>
      <c r="S2" s="43">
        <v>1</v>
      </c>
      <c r="T2" s="44" t="s">
        <v>69</v>
      </c>
    </row>
    <row r="3" spans="1:20" x14ac:dyDescent="0.4">
      <c r="A3">
        <v>1</v>
      </c>
      <c r="B3">
        <f t="shared" ref="B3:B65" si="2">4*A3</f>
        <v>4</v>
      </c>
      <c r="E3" s="5" t="str">
        <f t="shared" si="0"/>
        <v>4</v>
      </c>
      <c r="F3" s="6" t="s">
        <v>167</v>
      </c>
      <c r="G3" s="6" t="s">
        <v>68</v>
      </c>
      <c r="H3" s="6">
        <v>0</v>
      </c>
      <c r="I3" s="6">
        <v>1</v>
      </c>
      <c r="J3" s="6">
        <v>0</v>
      </c>
      <c r="K3" s="7" t="s">
        <v>70</v>
      </c>
      <c r="N3" s="33" t="str">
        <f t="shared" si="1"/>
        <v>4</v>
      </c>
      <c r="O3" s="45"/>
      <c r="P3" s="45" t="s">
        <v>68</v>
      </c>
      <c r="Q3" s="45">
        <v>0</v>
      </c>
      <c r="R3" s="36" t="s">
        <v>197</v>
      </c>
      <c r="S3" s="45">
        <v>0</v>
      </c>
      <c r="T3" s="46" t="s">
        <v>70</v>
      </c>
    </row>
    <row r="4" spans="1:20" x14ac:dyDescent="0.4">
      <c r="A4">
        <v>2</v>
      </c>
      <c r="B4">
        <f t="shared" si="2"/>
        <v>8</v>
      </c>
      <c r="E4" s="5" t="str">
        <f t="shared" si="0"/>
        <v>8</v>
      </c>
      <c r="F4" s="6" t="s">
        <v>3</v>
      </c>
      <c r="G4" s="6">
        <v>14</v>
      </c>
      <c r="H4" s="6">
        <v>0</v>
      </c>
      <c r="I4" s="6">
        <v>1</v>
      </c>
      <c r="J4" s="6">
        <v>1</v>
      </c>
      <c r="K4" s="7" t="s">
        <v>69</v>
      </c>
      <c r="N4" s="33" t="str">
        <f t="shared" si="1"/>
        <v>8</v>
      </c>
      <c r="O4" s="45"/>
      <c r="P4" s="45">
        <v>18</v>
      </c>
      <c r="Q4" s="45">
        <v>0</v>
      </c>
      <c r="R4" s="36">
        <v>11</v>
      </c>
      <c r="S4" s="45">
        <v>1</v>
      </c>
      <c r="T4" s="46" t="s">
        <v>69</v>
      </c>
    </row>
    <row r="5" spans="1:20" x14ac:dyDescent="0.4">
      <c r="A5">
        <v>3</v>
      </c>
      <c r="B5">
        <f t="shared" si="2"/>
        <v>12</v>
      </c>
      <c r="E5" s="5" t="str">
        <f t="shared" si="0"/>
        <v>C</v>
      </c>
      <c r="F5" s="6" t="s">
        <v>4</v>
      </c>
      <c r="G5" s="6">
        <v>10</v>
      </c>
      <c r="H5" s="6">
        <v>0</v>
      </c>
      <c r="I5" s="6">
        <v>1</v>
      </c>
      <c r="J5" s="6">
        <v>0</v>
      </c>
      <c r="K5" s="7" t="s">
        <v>71</v>
      </c>
      <c r="N5" s="33" t="str">
        <f t="shared" si="1"/>
        <v>C</v>
      </c>
      <c r="O5" s="45"/>
      <c r="P5" s="45">
        <v>10</v>
      </c>
      <c r="Q5" s="45">
        <v>0</v>
      </c>
      <c r="R5" s="36">
        <v>11</v>
      </c>
      <c r="S5" s="45">
        <v>0</v>
      </c>
      <c r="T5" s="46" t="s">
        <v>71</v>
      </c>
    </row>
    <row r="6" spans="1:20" ht="19.5" thickBot="1" x14ac:dyDescent="0.45">
      <c r="A6">
        <v>4</v>
      </c>
      <c r="B6">
        <f t="shared" si="2"/>
        <v>16</v>
      </c>
      <c r="E6" s="11" t="str">
        <f t="shared" si="0"/>
        <v>10</v>
      </c>
      <c r="F6" s="12" t="s">
        <v>5</v>
      </c>
      <c r="G6" s="12" t="s">
        <v>171</v>
      </c>
      <c r="H6" s="12">
        <v>0</v>
      </c>
      <c r="I6" s="12">
        <v>0</v>
      </c>
      <c r="J6" s="12">
        <v>0</v>
      </c>
      <c r="K6" s="13" t="s">
        <v>69</v>
      </c>
      <c r="N6" s="33" t="str">
        <f t="shared" si="1"/>
        <v>10</v>
      </c>
      <c r="O6" s="45"/>
      <c r="P6" s="45">
        <v>14</v>
      </c>
      <c r="Q6" s="45">
        <v>0</v>
      </c>
      <c r="R6" s="36" t="s">
        <v>196</v>
      </c>
      <c r="S6" s="45">
        <v>0</v>
      </c>
      <c r="T6" s="46" t="s">
        <v>69</v>
      </c>
    </row>
    <row r="7" spans="1:20" ht="19.5" thickBot="1" x14ac:dyDescent="0.45">
      <c r="A7">
        <v>5</v>
      </c>
      <c r="B7">
        <f t="shared" si="2"/>
        <v>20</v>
      </c>
      <c r="E7" s="2" t="str">
        <f t="shared" si="0"/>
        <v>14</v>
      </c>
      <c r="F7" s="3" t="s">
        <v>6</v>
      </c>
      <c r="G7" s="3" t="s">
        <v>172</v>
      </c>
      <c r="H7" s="3">
        <v>0</v>
      </c>
      <c r="I7" s="3">
        <v>1</v>
      </c>
      <c r="J7" s="3">
        <v>0</v>
      </c>
      <c r="K7" s="4" t="s">
        <v>70</v>
      </c>
      <c r="N7" s="47" t="str">
        <f t="shared" si="1"/>
        <v>14</v>
      </c>
      <c r="O7" s="48"/>
      <c r="P7" s="48">
        <v>10</v>
      </c>
      <c r="Q7" s="48">
        <v>2</v>
      </c>
      <c r="R7" s="37" t="s">
        <v>196</v>
      </c>
      <c r="S7" s="48">
        <v>0</v>
      </c>
      <c r="T7" s="49" t="s">
        <v>72</v>
      </c>
    </row>
    <row r="8" spans="1:20" x14ac:dyDescent="0.4">
      <c r="A8">
        <v>6</v>
      </c>
      <c r="B8">
        <f t="shared" si="2"/>
        <v>24</v>
      </c>
      <c r="E8" s="5" t="str">
        <f t="shared" si="0"/>
        <v>18</v>
      </c>
      <c r="F8" s="6" t="s">
        <v>7</v>
      </c>
      <c r="G8" s="6">
        <v>28</v>
      </c>
      <c r="H8" s="6">
        <v>0</v>
      </c>
      <c r="I8" s="6">
        <v>1</v>
      </c>
      <c r="J8" s="6">
        <v>1</v>
      </c>
      <c r="K8" s="7" t="s">
        <v>69</v>
      </c>
      <c r="N8" s="42" t="str">
        <f t="shared" si="1"/>
        <v>18</v>
      </c>
      <c r="O8" s="43"/>
      <c r="P8" s="43">
        <v>20</v>
      </c>
      <c r="Q8" s="43">
        <v>0</v>
      </c>
      <c r="R8" s="35" t="s">
        <v>197</v>
      </c>
      <c r="S8" s="43">
        <v>0</v>
      </c>
      <c r="T8" s="44" t="s">
        <v>70</v>
      </c>
    </row>
    <row r="9" spans="1:20" x14ac:dyDescent="0.4">
      <c r="A9">
        <v>7</v>
      </c>
      <c r="B9">
        <f t="shared" si="2"/>
        <v>28</v>
      </c>
      <c r="E9" s="5" t="str">
        <f t="shared" si="0"/>
        <v>1C</v>
      </c>
      <c r="F9" s="6" t="s">
        <v>8</v>
      </c>
      <c r="G9" s="6">
        <v>20</v>
      </c>
      <c r="H9" s="6">
        <v>0</v>
      </c>
      <c r="I9" s="6">
        <v>1</v>
      </c>
      <c r="J9" s="6">
        <v>0</v>
      </c>
      <c r="K9" s="7" t="s">
        <v>71</v>
      </c>
      <c r="N9" s="33" t="str">
        <f t="shared" si="1"/>
        <v>1C</v>
      </c>
      <c r="O9" s="45"/>
      <c r="P9" s="45" t="s">
        <v>198</v>
      </c>
      <c r="Q9" s="45">
        <v>0</v>
      </c>
      <c r="R9" s="36" t="s">
        <v>197</v>
      </c>
      <c r="S9" s="45">
        <v>1</v>
      </c>
      <c r="T9" s="46" t="s">
        <v>69</v>
      </c>
    </row>
    <row r="10" spans="1:20" x14ac:dyDescent="0.4">
      <c r="A10">
        <v>8</v>
      </c>
      <c r="B10">
        <f t="shared" si="2"/>
        <v>32</v>
      </c>
      <c r="E10" s="5" t="str">
        <f t="shared" si="0"/>
        <v>20</v>
      </c>
      <c r="F10" s="6" t="s">
        <v>9</v>
      </c>
      <c r="G10" s="6">
        <v>24</v>
      </c>
      <c r="H10" s="6">
        <v>0</v>
      </c>
      <c r="I10" s="6">
        <v>1</v>
      </c>
      <c r="J10" s="6">
        <v>0</v>
      </c>
      <c r="K10" s="7" t="s">
        <v>69</v>
      </c>
      <c r="N10" s="33" t="str">
        <f t="shared" si="1"/>
        <v>20</v>
      </c>
      <c r="O10" s="45"/>
      <c r="P10" s="45">
        <v>24</v>
      </c>
      <c r="Q10" s="45">
        <v>0</v>
      </c>
      <c r="R10" s="36" t="s">
        <v>197</v>
      </c>
      <c r="S10" s="45">
        <v>0</v>
      </c>
      <c r="T10" s="46" t="s">
        <v>71</v>
      </c>
    </row>
    <row r="11" spans="1:20" ht="19.5" thickBot="1" x14ac:dyDescent="0.45">
      <c r="A11">
        <v>9</v>
      </c>
      <c r="B11">
        <f t="shared" si="2"/>
        <v>36</v>
      </c>
      <c r="E11" s="11" t="str">
        <f t="shared" si="0"/>
        <v>24</v>
      </c>
      <c r="F11" s="12" t="s">
        <v>10</v>
      </c>
      <c r="G11" s="12">
        <v>10</v>
      </c>
      <c r="H11" s="12">
        <v>2</v>
      </c>
      <c r="I11" s="12">
        <v>1</v>
      </c>
      <c r="J11" s="12">
        <v>0</v>
      </c>
      <c r="K11" s="13" t="s">
        <v>72</v>
      </c>
      <c r="N11" s="33" t="str">
        <f t="shared" si="1"/>
        <v>24</v>
      </c>
      <c r="O11" s="45"/>
      <c r="P11" s="45">
        <v>28</v>
      </c>
      <c r="Q11" s="45">
        <v>0</v>
      </c>
      <c r="R11" s="36" t="s">
        <v>197</v>
      </c>
      <c r="S11" s="45">
        <v>0</v>
      </c>
      <c r="T11" s="46" t="s">
        <v>69</v>
      </c>
    </row>
    <row r="12" spans="1:20" ht="19.5" thickBot="1" x14ac:dyDescent="0.45">
      <c r="A12">
        <v>10</v>
      </c>
      <c r="B12">
        <f t="shared" si="2"/>
        <v>40</v>
      </c>
      <c r="E12" s="2" t="str">
        <f t="shared" si="0"/>
        <v>28</v>
      </c>
      <c r="F12" s="3" t="s">
        <v>11</v>
      </c>
      <c r="G12" s="3">
        <v>30</v>
      </c>
      <c r="H12" s="3">
        <v>0</v>
      </c>
      <c r="I12" s="3">
        <v>1</v>
      </c>
      <c r="J12" s="3">
        <v>0</v>
      </c>
      <c r="K12" s="4" t="s">
        <v>70</v>
      </c>
      <c r="N12" s="47" t="str">
        <f t="shared" si="1"/>
        <v>28</v>
      </c>
      <c r="O12" s="48"/>
      <c r="P12" s="48">
        <v>10</v>
      </c>
      <c r="Q12" s="48">
        <v>2</v>
      </c>
      <c r="R12" s="37" t="s">
        <v>197</v>
      </c>
      <c r="S12" s="48">
        <v>0</v>
      </c>
      <c r="T12" s="49" t="s">
        <v>72</v>
      </c>
    </row>
    <row r="13" spans="1:20" x14ac:dyDescent="0.4">
      <c r="A13">
        <v>11</v>
      </c>
      <c r="B13">
        <f t="shared" si="2"/>
        <v>44</v>
      </c>
      <c r="E13" s="5" t="str">
        <f t="shared" si="0"/>
        <v>2C</v>
      </c>
      <c r="F13" s="6" t="s">
        <v>12</v>
      </c>
      <c r="G13" s="6" t="s">
        <v>173</v>
      </c>
      <c r="H13" s="6">
        <v>0</v>
      </c>
      <c r="I13" s="6">
        <v>1</v>
      </c>
      <c r="J13" s="6">
        <v>1</v>
      </c>
      <c r="K13" s="7" t="s">
        <v>69</v>
      </c>
      <c r="N13" s="42" t="str">
        <f t="shared" si="1"/>
        <v>2C</v>
      </c>
      <c r="O13" s="43"/>
      <c r="P13" s="43">
        <v>34</v>
      </c>
      <c r="Q13" s="43">
        <v>0</v>
      </c>
      <c r="R13" s="35" t="s">
        <v>197</v>
      </c>
      <c r="S13" s="43">
        <v>0</v>
      </c>
      <c r="T13" s="44" t="s">
        <v>70</v>
      </c>
    </row>
    <row r="14" spans="1:20" x14ac:dyDescent="0.4">
      <c r="A14">
        <v>12</v>
      </c>
      <c r="B14">
        <f t="shared" si="2"/>
        <v>48</v>
      </c>
      <c r="E14" s="5" t="str">
        <f t="shared" si="0"/>
        <v>30</v>
      </c>
      <c r="F14" s="6" t="s">
        <v>13</v>
      </c>
      <c r="G14" s="6">
        <v>34</v>
      </c>
      <c r="H14" s="6">
        <v>0</v>
      </c>
      <c r="I14" s="6">
        <v>1</v>
      </c>
      <c r="J14" s="6">
        <v>0</v>
      </c>
      <c r="K14" s="7" t="s">
        <v>71</v>
      </c>
      <c r="N14" s="33" t="str">
        <f t="shared" si="1"/>
        <v>30</v>
      </c>
      <c r="O14" s="45"/>
      <c r="P14" s="45">
        <v>40</v>
      </c>
      <c r="Q14" s="45">
        <v>0</v>
      </c>
      <c r="R14" s="36" t="s">
        <v>197</v>
      </c>
      <c r="S14" s="45">
        <v>1</v>
      </c>
      <c r="T14" s="46" t="s">
        <v>69</v>
      </c>
    </row>
    <row r="15" spans="1:20" x14ac:dyDescent="0.4">
      <c r="A15">
        <v>13</v>
      </c>
      <c r="B15">
        <f t="shared" si="2"/>
        <v>52</v>
      </c>
      <c r="E15" s="5" t="str">
        <f t="shared" si="0"/>
        <v>34</v>
      </c>
      <c r="F15" s="6" t="s">
        <v>14</v>
      </c>
      <c r="G15" s="6">
        <v>38</v>
      </c>
      <c r="H15" s="6">
        <v>0</v>
      </c>
      <c r="I15" s="6">
        <v>1</v>
      </c>
      <c r="J15" s="6">
        <v>0</v>
      </c>
      <c r="K15" s="7" t="s">
        <v>69</v>
      </c>
      <c r="N15" s="33" t="str">
        <f t="shared" si="1"/>
        <v>34</v>
      </c>
      <c r="O15" s="45"/>
      <c r="P15" s="45">
        <v>38</v>
      </c>
      <c r="Q15" s="45">
        <v>0</v>
      </c>
      <c r="R15" s="36" t="s">
        <v>197</v>
      </c>
      <c r="S15" s="45">
        <v>0</v>
      </c>
      <c r="T15" s="46" t="s">
        <v>71</v>
      </c>
    </row>
    <row r="16" spans="1:20" ht="19.5" thickBot="1" x14ac:dyDescent="0.45">
      <c r="A16">
        <v>14</v>
      </c>
      <c r="B16">
        <f t="shared" si="2"/>
        <v>56</v>
      </c>
      <c r="E16" s="11" t="str">
        <f t="shared" si="0"/>
        <v>38</v>
      </c>
      <c r="F16" s="12" t="s">
        <v>15</v>
      </c>
      <c r="G16" s="12">
        <v>20</v>
      </c>
      <c r="H16" s="12">
        <v>2</v>
      </c>
      <c r="I16" s="12">
        <v>1</v>
      </c>
      <c r="J16" s="12">
        <v>0</v>
      </c>
      <c r="K16" s="13" t="s">
        <v>72</v>
      </c>
      <c r="N16" s="33" t="str">
        <f t="shared" si="1"/>
        <v>38</v>
      </c>
      <c r="O16" s="45"/>
      <c r="P16" s="45" t="s">
        <v>173</v>
      </c>
      <c r="Q16" s="45">
        <v>0</v>
      </c>
      <c r="R16" s="36" t="s">
        <v>197</v>
      </c>
      <c r="S16" s="45">
        <v>0</v>
      </c>
      <c r="T16" s="46" t="s">
        <v>69</v>
      </c>
    </row>
    <row r="17" spans="1:20" ht="19.5" thickBot="1" x14ac:dyDescent="0.45">
      <c r="A17">
        <v>15</v>
      </c>
      <c r="B17">
        <f t="shared" si="2"/>
        <v>60</v>
      </c>
      <c r="E17" s="2" t="str">
        <f t="shared" si="0"/>
        <v>3C</v>
      </c>
      <c r="F17" s="3" t="s">
        <v>16</v>
      </c>
      <c r="G17" s="3">
        <v>44</v>
      </c>
      <c r="H17" s="3">
        <v>0</v>
      </c>
      <c r="I17" s="3">
        <v>1</v>
      </c>
      <c r="J17" s="3">
        <v>0</v>
      </c>
      <c r="K17" s="4" t="s">
        <v>70</v>
      </c>
      <c r="N17" s="47" t="str">
        <f t="shared" si="1"/>
        <v>3C</v>
      </c>
      <c r="O17" s="48"/>
      <c r="P17" s="48">
        <v>24</v>
      </c>
      <c r="Q17" s="48">
        <v>2</v>
      </c>
      <c r="R17" s="37" t="s">
        <v>197</v>
      </c>
      <c r="S17" s="48">
        <v>0</v>
      </c>
      <c r="T17" s="49" t="s">
        <v>72</v>
      </c>
    </row>
    <row r="18" spans="1:20" x14ac:dyDescent="0.4">
      <c r="A18">
        <v>16</v>
      </c>
      <c r="B18">
        <f t="shared" si="2"/>
        <v>64</v>
      </c>
      <c r="E18" s="5" t="str">
        <f t="shared" si="0"/>
        <v>40</v>
      </c>
      <c r="F18" s="6" t="s">
        <v>17</v>
      </c>
      <c r="G18" s="6">
        <v>50</v>
      </c>
      <c r="H18" s="6">
        <v>0</v>
      </c>
      <c r="I18" s="6">
        <v>1</v>
      </c>
      <c r="J18" s="6">
        <v>1</v>
      </c>
      <c r="K18" s="7" t="s">
        <v>69</v>
      </c>
      <c r="N18" s="42" t="str">
        <f t="shared" si="1"/>
        <v>40</v>
      </c>
      <c r="O18" s="43"/>
      <c r="P18" s="43">
        <v>48</v>
      </c>
      <c r="Q18" s="43">
        <v>0</v>
      </c>
      <c r="R18" s="35" t="s">
        <v>197</v>
      </c>
      <c r="S18" s="43">
        <v>0</v>
      </c>
      <c r="T18" s="44" t="s">
        <v>70</v>
      </c>
    </row>
    <row r="19" spans="1:20" x14ac:dyDescent="0.4">
      <c r="A19">
        <v>17</v>
      </c>
      <c r="B19">
        <f t="shared" si="2"/>
        <v>68</v>
      </c>
      <c r="E19" s="5" t="str">
        <f t="shared" si="0"/>
        <v>44</v>
      </c>
      <c r="F19" s="6" t="s">
        <v>18</v>
      </c>
      <c r="G19" s="6">
        <v>48</v>
      </c>
      <c r="H19" s="6">
        <v>0</v>
      </c>
      <c r="I19" s="6">
        <v>1</v>
      </c>
      <c r="J19" s="6">
        <v>0</v>
      </c>
      <c r="K19" s="7" t="s">
        <v>71</v>
      </c>
      <c r="N19" s="33" t="str">
        <f t="shared" si="1"/>
        <v>44</v>
      </c>
      <c r="O19" s="45"/>
      <c r="P19" s="45">
        <v>54</v>
      </c>
      <c r="Q19" s="45">
        <v>0</v>
      </c>
      <c r="R19" s="36" t="s">
        <v>197</v>
      </c>
      <c r="S19" s="45">
        <v>1</v>
      </c>
      <c r="T19" s="46" t="s">
        <v>69</v>
      </c>
    </row>
    <row r="20" spans="1:20" x14ac:dyDescent="0.4">
      <c r="A20">
        <v>18</v>
      </c>
      <c r="B20">
        <f t="shared" si="2"/>
        <v>72</v>
      </c>
      <c r="E20" s="5" t="str">
        <f t="shared" si="0"/>
        <v>48</v>
      </c>
      <c r="F20" s="6" t="s">
        <v>19</v>
      </c>
      <c r="G20" s="6" t="s">
        <v>174</v>
      </c>
      <c r="H20" s="6">
        <v>0</v>
      </c>
      <c r="I20" s="6">
        <v>1</v>
      </c>
      <c r="J20" s="6">
        <v>0</v>
      </c>
      <c r="K20" s="7" t="s">
        <v>69</v>
      </c>
      <c r="N20" s="33" t="str">
        <f t="shared" si="1"/>
        <v>48</v>
      </c>
      <c r="O20" s="45"/>
      <c r="P20" s="45" t="s">
        <v>174</v>
      </c>
      <c r="Q20" s="45">
        <v>0</v>
      </c>
      <c r="R20" s="36" t="s">
        <v>197</v>
      </c>
      <c r="S20" s="45">
        <v>0</v>
      </c>
      <c r="T20" s="46" t="s">
        <v>71</v>
      </c>
    </row>
    <row r="21" spans="1:20" ht="19.5" thickBot="1" x14ac:dyDescent="0.45">
      <c r="A21">
        <v>19</v>
      </c>
      <c r="B21">
        <f t="shared" si="2"/>
        <v>76</v>
      </c>
      <c r="E21" s="11" t="str">
        <f t="shared" si="0"/>
        <v>4C</v>
      </c>
      <c r="F21" s="12" t="s">
        <v>20</v>
      </c>
      <c r="G21" s="12">
        <v>34</v>
      </c>
      <c r="H21" s="12">
        <v>2</v>
      </c>
      <c r="I21" s="12">
        <v>1</v>
      </c>
      <c r="J21" s="12">
        <v>0</v>
      </c>
      <c r="K21" s="13" t="s">
        <v>72</v>
      </c>
      <c r="N21" s="33" t="str">
        <f t="shared" si="1"/>
        <v>4C</v>
      </c>
      <c r="O21" s="45"/>
      <c r="P21" s="45">
        <v>50</v>
      </c>
      <c r="Q21" s="45">
        <v>0</v>
      </c>
      <c r="R21" s="36" t="s">
        <v>197</v>
      </c>
      <c r="S21" s="45">
        <v>0</v>
      </c>
      <c r="T21" s="46" t="s">
        <v>69</v>
      </c>
    </row>
    <row r="22" spans="1:20" ht="19.5" thickBot="1" x14ac:dyDescent="0.45">
      <c r="A22">
        <v>20</v>
      </c>
      <c r="B22">
        <f t="shared" si="2"/>
        <v>80</v>
      </c>
      <c r="E22" s="2" t="str">
        <f t="shared" si="0"/>
        <v>50</v>
      </c>
      <c r="F22" s="3" t="s">
        <v>21</v>
      </c>
      <c r="G22" s="3">
        <v>58</v>
      </c>
      <c r="H22" s="3">
        <v>0</v>
      </c>
      <c r="I22" s="3">
        <v>1</v>
      </c>
      <c r="J22" s="3">
        <v>0</v>
      </c>
      <c r="K22" s="4" t="s">
        <v>70</v>
      </c>
      <c r="N22" s="47" t="str">
        <f t="shared" si="1"/>
        <v>50</v>
      </c>
      <c r="O22" s="48"/>
      <c r="P22" s="48">
        <v>38</v>
      </c>
      <c r="Q22" s="48">
        <v>2</v>
      </c>
      <c r="R22" s="37" t="s">
        <v>197</v>
      </c>
      <c r="S22" s="48">
        <v>0</v>
      </c>
      <c r="T22" s="49" t="s">
        <v>72</v>
      </c>
    </row>
    <row r="23" spans="1:20" x14ac:dyDescent="0.4">
      <c r="A23">
        <v>21</v>
      </c>
      <c r="B23">
        <f t="shared" si="2"/>
        <v>84</v>
      </c>
      <c r="E23" s="5" t="str">
        <f t="shared" si="0"/>
        <v>54</v>
      </c>
      <c r="F23" s="6" t="s">
        <v>22</v>
      </c>
      <c r="G23" s="6">
        <v>64</v>
      </c>
      <c r="H23" s="6">
        <v>0</v>
      </c>
      <c r="I23" s="6">
        <v>1</v>
      </c>
      <c r="J23" s="6">
        <v>1</v>
      </c>
      <c r="K23" s="7" t="s">
        <v>69</v>
      </c>
      <c r="N23" s="42" t="str">
        <f t="shared" si="1"/>
        <v>54</v>
      </c>
      <c r="O23" s="43"/>
      <c r="P23" s="43" t="s">
        <v>175</v>
      </c>
      <c r="Q23" s="43">
        <v>0</v>
      </c>
      <c r="R23" s="35" t="s">
        <v>197</v>
      </c>
      <c r="S23" s="43">
        <v>0</v>
      </c>
      <c r="T23" s="44" t="s">
        <v>70</v>
      </c>
    </row>
    <row r="24" spans="1:20" x14ac:dyDescent="0.4">
      <c r="A24">
        <v>22</v>
      </c>
      <c r="B24">
        <f t="shared" si="2"/>
        <v>88</v>
      </c>
      <c r="E24" s="5" t="str">
        <f t="shared" si="0"/>
        <v>58</v>
      </c>
      <c r="F24" s="6" t="s">
        <v>23</v>
      </c>
      <c r="G24" s="6" t="s">
        <v>175</v>
      </c>
      <c r="H24" s="6">
        <v>0</v>
      </c>
      <c r="I24" s="6">
        <v>1</v>
      </c>
      <c r="J24" s="6">
        <v>0</v>
      </c>
      <c r="K24" s="7" t="s">
        <v>71</v>
      </c>
      <c r="N24" s="33" t="str">
        <f t="shared" si="1"/>
        <v>58</v>
      </c>
      <c r="O24" s="45"/>
      <c r="P24" s="45">
        <v>68</v>
      </c>
      <c r="Q24" s="45">
        <v>0</v>
      </c>
      <c r="R24" s="36" t="s">
        <v>197</v>
      </c>
      <c r="S24" s="45">
        <v>1</v>
      </c>
      <c r="T24" s="46" t="s">
        <v>69</v>
      </c>
    </row>
    <row r="25" spans="1:20" x14ac:dyDescent="0.4">
      <c r="A25">
        <v>23</v>
      </c>
      <c r="B25">
        <f t="shared" si="2"/>
        <v>92</v>
      </c>
      <c r="E25" s="5" t="str">
        <f t="shared" si="0"/>
        <v>5C</v>
      </c>
      <c r="F25" s="6" t="s">
        <v>24</v>
      </c>
      <c r="G25" s="6">
        <v>60</v>
      </c>
      <c r="H25" s="6">
        <v>0</v>
      </c>
      <c r="I25" s="6">
        <v>1</v>
      </c>
      <c r="J25" s="6">
        <v>0</v>
      </c>
      <c r="K25" s="7" t="s">
        <v>69</v>
      </c>
      <c r="N25" s="33" t="str">
        <f t="shared" si="1"/>
        <v>5C</v>
      </c>
      <c r="O25" s="45"/>
      <c r="P25" s="45">
        <v>60</v>
      </c>
      <c r="Q25" s="45">
        <v>0</v>
      </c>
      <c r="R25" s="36" t="s">
        <v>197</v>
      </c>
      <c r="S25" s="45">
        <v>0</v>
      </c>
      <c r="T25" s="46" t="s">
        <v>71</v>
      </c>
    </row>
    <row r="26" spans="1:20" ht="19.5" thickBot="1" x14ac:dyDescent="0.45">
      <c r="A26">
        <v>24</v>
      </c>
      <c r="B26">
        <f t="shared" si="2"/>
        <v>96</v>
      </c>
      <c r="E26" s="11" t="str">
        <f t="shared" si="0"/>
        <v>60</v>
      </c>
      <c r="F26" s="12" t="s">
        <v>25</v>
      </c>
      <c r="G26" s="12">
        <v>48</v>
      </c>
      <c r="H26" s="12">
        <v>2</v>
      </c>
      <c r="I26" s="12">
        <v>1</v>
      </c>
      <c r="J26" s="12">
        <v>0</v>
      </c>
      <c r="K26" s="13" t="s">
        <v>72</v>
      </c>
      <c r="N26" s="33" t="str">
        <f t="shared" si="1"/>
        <v>60</v>
      </c>
      <c r="O26" s="45"/>
      <c r="P26" s="45">
        <v>64</v>
      </c>
      <c r="Q26" s="45">
        <v>0</v>
      </c>
      <c r="R26" s="36" t="s">
        <v>197</v>
      </c>
      <c r="S26" s="45">
        <v>0</v>
      </c>
      <c r="T26" s="46" t="s">
        <v>69</v>
      </c>
    </row>
    <row r="27" spans="1:20" ht="19.5" thickBot="1" x14ac:dyDescent="0.45">
      <c r="A27">
        <v>25</v>
      </c>
      <c r="B27">
        <f t="shared" si="2"/>
        <v>100</v>
      </c>
      <c r="E27" s="2" t="str">
        <f t="shared" si="0"/>
        <v>64</v>
      </c>
      <c r="F27" s="3" t="s">
        <v>26</v>
      </c>
      <c r="G27" s="3" t="s">
        <v>176</v>
      </c>
      <c r="H27" s="3">
        <v>0</v>
      </c>
      <c r="I27" s="3">
        <v>1</v>
      </c>
      <c r="J27" s="3">
        <v>0</v>
      </c>
      <c r="K27" s="4" t="s">
        <v>70</v>
      </c>
      <c r="N27" s="47" t="str">
        <f t="shared" si="1"/>
        <v>64</v>
      </c>
      <c r="O27" s="48"/>
      <c r="P27" s="48" t="s">
        <v>174</v>
      </c>
      <c r="Q27" s="48">
        <v>2</v>
      </c>
      <c r="R27" s="37" t="s">
        <v>197</v>
      </c>
      <c r="S27" s="48">
        <v>0</v>
      </c>
      <c r="T27" s="49" t="s">
        <v>72</v>
      </c>
    </row>
    <row r="28" spans="1:20" x14ac:dyDescent="0.4">
      <c r="A28">
        <v>26</v>
      </c>
      <c r="B28">
        <f t="shared" si="2"/>
        <v>104</v>
      </c>
      <c r="E28" s="5" t="str">
        <f t="shared" si="0"/>
        <v>68</v>
      </c>
      <c r="F28" s="6" t="s">
        <v>27</v>
      </c>
      <c r="G28" s="6">
        <v>78</v>
      </c>
      <c r="H28" s="6">
        <v>0</v>
      </c>
      <c r="I28" s="6">
        <v>1</v>
      </c>
      <c r="J28" s="6">
        <v>1</v>
      </c>
      <c r="K28" s="7" t="s">
        <v>69</v>
      </c>
      <c r="N28" s="42" t="str">
        <f t="shared" si="1"/>
        <v>68</v>
      </c>
      <c r="O28" s="43"/>
      <c r="P28" s="43">
        <v>70</v>
      </c>
      <c r="Q28" s="43">
        <v>0</v>
      </c>
      <c r="R28" s="35" t="s">
        <v>197</v>
      </c>
      <c r="S28" s="43">
        <v>0</v>
      </c>
      <c r="T28" s="44" t="s">
        <v>70</v>
      </c>
    </row>
    <row r="29" spans="1:20" x14ac:dyDescent="0.4">
      <c r="A29">
        <v>27</v>
      </c>
      <c r="B29">
        <f t="shared" si="2"/>
        <v>108</v>
      </c>
      <c r="E29" s="5" t="str">
        <f t="shared" si="0"/>
        <v>6C</v>
      </c>
      <c r="F29" s="6" t="s">
        <v>28</v>
      </c>
      <c r="G29" s="6">
        <v>70</v>
      </c>
      <c r="H29" s="6">
        <v>0</v>
      </c>
      <c r="I29" s="6">
        <v>1</v>
      </c>
      <c r="J29" s="6">
        <v>0</v>
      </c>
      <c r="K29" s="7" t="s">
        <v>71</v>
      </c>
      <c r="N29" s="33" t="str">
        <f t="shared" si="1"/>
        <v>6C</v>
      </c>
      <c r="O29" s="45"/>
      <c r="P29" s="45" t="s">
        <v>199</v>
      </c>
      <c r="Q29" s="45">
        <v>0</v>
      </c>
      <c r="R29" s="36" t="s">
        <v>197</v>
      </c>
      <c r="S29" s="45">
        <v>1</v>
      </c>
      <c r="T29" s="46" t="s">
        <v>69</v>
      </c>
    </row>
    <row r="30" spans="1:20" x14ac:dyDescent="0.4">
      <c r="A30">
        <v>28</v>
      </c>
      <c r="B30">
        <f t="shared" si="2"/>
        <v>112</v>
      </c>
      <c r="E30" s="5" t="str">
        <f t="shared" si="0"/>
        <v>70</v>
      </c>
      <c r="F30" s="6" t="s">
        <v>29</v>
      </c>
      <c r="G30" s="6">
        <v>74</v>
      </c>
      <c r="H30" s="6">
        <v>0</v>
      </c>
      <c r="I30" s="6">
        <v>1</v>
      </c>
      <c r="J30" s="6">
        <v>0</v>
      </c>
      <c r="K30" s="7" t="s">
        <v>69</v>
      </c>
      <c r="N30" s="33" t="str">
        <f t="shared" si="1"/>
        <v>70</v>
      </c>
      <c r="O30" s="45"/>
      <c r="P30" s="45">
        <v>70</v>
      </c>
      <c r="Q30" s="45">
        <v>0</v>
      </c>
      <c r="R30" s="36" t="s">
        <v>197</v>
      </c>
      <c r="S30" s="45">
        <v>0</v>
      </c>
      <c r="T30" s="46" t="s">
        <v>71</v>
      </c>
    </row>
    <row r="31" spans="1:20" ht="19.5" thickBot="1" x14ac:dyDescent="0.45">
      <c r="A31">
        <v>29</v>
      </c>
      <c r="B31">
        <f t="shared" si="2"/>
        <v>116</v>
      </c>
      <c r="E31" s="11" t="str">
        <f t="shared" si="0"/>
        <v>74</v>
      </c>
      <c r="F31" s="12" t="s">
        <v>30</v>
      </c>
      <c r="G31" s="12" t="s">
        <v>175</v>
      </c>
      <c r="H31" s="12">
        <v>2</v>
      </c>
      <c r="I31" s="12">
        <v>1</v>
      </c>
      <c r="J31" s="12">
        <v>0</v>
      </c>
      <c r="K31" s="13" t="s">
        <v>72</v>
      </c>
      <c r="N31" s="33" t="str">
        <f t="shared" si="1"/>
        <v>74</v>
      </c>
      <c r="O31" s="45"/>
      <c r="P31" s="45">
        <v>78</v>
      </c>
      <c r="Q31" s="45">
        <v>0</v>
      </c>
      <c r="R31" s="36" t="s">
        <v>197</v>
      </c>
      <c r="S31" s="45">
        <v>0</v>
      </c>
      <c r="T31" s="46" t="s">
        <v>69</v>
      </c>
    </row>
    <row r="32" spans="1:20" ht="19.5" thickBot="1" x14ac:dyDescent="0.45">
      <c r="A32">
        <v>30</v>
      </c>
      <c r="B32">
        <f t="shared" si="2"/>
        <v>120</v>
      </c>
      <c r="E32" s="2" t="str">
        <f t="shared" si="0"/>
        <v>78</v>
      </c>
      <c r="F32" s="3" t="s">
        <v>31</v>
      </c>
      <c r="G32" s="3">
        <v>80</v>
      </c>
      <c r="H32" s="3">
        <v>0</v>
      </c>
      <c r="I32" s="3">
        <v>1</v>
      </c>
      <c r="J32" s="3">
        <v>0</v>
      </c>
      <c r="K32" s="4" t="s">
        <v>70</v>
      </c>
      <c r="N32" s="47" t="str">
        <f t="shared" si="1"/>
        <v>78</v>
      </c>
      <c r="O32" s="48"/>
      <c r="P32" s="48">
        <v>60</v>
      </c>
      <c r="Q32" s="48">
        <v>2</v>
      </c>
      <c r="R32" s="37" t="s">
        <v>197</v>
      </c>
      <c r="S32" s="48">
        <v>0</v>
      </c>
      <c r="T32" s="49" t="s">
        <v>72</v>
      </c>
    </row>
    <row r="33" spans="1:20" x14ac:dyDescent="0.4">
      <c r="A33">
        <v>31</v>
      </c>
      <c r="B33">
        <f t="shared" si="2"/>
        <v>124</v>
      </c>
      <c r="E33" s="5" t="str">
        <f t="shared" si="0"/>
        <v>7C</v>
      </c>
      <c r="F33" s="6" t="s">
        <v>32</v>
      </c>
      <c r="G33" s="6" t="s">
        <v>177</v>
      </c>
      <c r="H33" s="6">
        <v>0</v>
      </c>
      <c r="I33" s="6">
        <v>1</v>
      </c>
      <c r="J33" s="6">
        <v>1</v>
      </c>
      <c r="K33" s="7" t="s">
        <v>69</v>
      </c>
      <c r="N33" s="42" t="str">
        <f t="shared" si="1"/>
        <v>7C</v>
      </c>
      <c r="O33" s="43"/>
      <c r="P33" s="43">
        <v>80</v>
      </c>
      <c r="Q33" s="43">
        <v>0</v>
      </c>
      <c r="R33" s="35" t="s">
        <v>197</v>
      </c>
      <c r="S33" s="43">
        <v>0</v>
      </c>
      <c r="T33" s="44" t="s">
        <v>70</v>
      </c>
    </row>
    <row r="34" spans="1:20" x14ac:dyDescent="0.4">
      <c r="A34">
        <v>32</v>
      </c>
      <c r="B34">
        <f t="shared" si="2"/>
        <v>128</v>
      </c>
      <c r="E34" s="5" t="str">
        <f t="shared" ref="E34:E63" si="3">DEC2HEX($B34)</f>
        <v>80</v>
      </c>
      <c r="F34" s="6" t="s">
        <v>33</v>
      </c>
      <c r="G34" s="6">
        <v>84</v>
      </c>
      <c r="H34" s="6">
        <v>0</v>
      </c>
      <c r="I34" s="6">
        <v>1</v>
      </c>
      <c r="J34" s="6">
        <v>0</v>
      </c>
      <c r="K34" s="7" t="s">
        <v>71</v>
      </c>
      <c r="N34" s="33" t="str">
        <f t="shared" ref="N34:N64" si="4">DEC2HEX(B34)</f>
        <v>80</v>
      </c>
      <c r="O34" s="45"/>
      <c r="P34" s="45">
        <v>84</v>
      </c>
      <c r="Q34" s="45">
        <v>0</v>
      </c>
      <c r="R34" s="36" t="s">
        <v>197</v>
      </c>
      <c r="S34" s="45">
        <v>0</v>
      </c>
      <c r="T34" s="46" t="s">
        <v>71</v>
      </c>
    </row>
    <row r="35" spans="1:20" x14ac:dyDescent="0.4">
      <c r="A35">
        <v>33</v>
      </c>
      <c r="B35">
        <f t="shared" si="2"/>
        <v>132</v>
      </c>
      <c r="E35" s="5" t="str">
        <f t="shared" si="3"/>
        <v>84</v>
      </c>
      <c r="F35" s="6" t="s">
        <v>34</v>
      </c>
      <c r="G35" s="6">
        <v>88</v>
      </c>
      <c r="H35" s="6">
        <v>0</v>
      </c>
      <c r="I35" s="6">
        <v>1</v>
      </c>
      <c r="J35" s="6">
        <v>0</v>
      </c>
      <c r="K35" s="7" t="s">
        <v>69</v>
      </c>
      <c r="N35" s="33" t="str">
        <f t="shared" si="4"/>
        <v>84</v>
      </c>
      <c r="O35" s="45"/>
      <c r="P35" s="45">
        <v>74</v>
      </c>
      <c r="Q35" s="45">
        <v>2</v>
      </c>
      <c r="R35" s="36" t="s">
        <v>197</v>
      </c>
      <c r="S35" s="45">
        <v>0</v>
      </c>
      <c r="T35" s="46" t="s">
        <v>72</v>
      </c>
    </row>
    <row r="36" spans="1:20" ht="19.5" thickBot="1" x14ac:dyDescent="0.45">
      <c r="A36">
        <v>34</v>
      </c>
      <c r="B36">
        <f t="shared" si="2"/>
        <v>136</v>
      </c>
      <c r="E36" s="11" t="str">
        <f t="shared" si="3"/>
        <v>88</v>
      </c>
      <c r="F36" s="12" t="s">
        <v>35</v>
      </c>
      <c r="G36" s="12">
        <v>70</v>
      </c>
      <c r="H36" s="12">
        <v>2</v>
      </c>
      <c r="I36" s="12">
        <v>1</v>
      </c>
      <c r="J36" s="12">
        <v>0</v>
      </c>
      <c r="K36" s="13" t="s">
        <v>72</v>
      </c>
      <c r="N36" s="33" t="str">
        <f t="shared" si="4"/>
        <v>88</v>
      </c>
      <c r="O36" s="45"/>
      <c r="P36" s="45"/>
      <c r="Q36" s="45"/>
      <c r="R36" s="36"/>
      <c r="S36" s="45"/>
      <c r="T36" s="46"/>
    </row>
    <row r="37" spans="1:20" ht="19.5" thickBot="1" x14ac:dyDescent="0.45">
      <c r="A37">
        <v>35</v>
      </c>
      <c r="B37">
        <f t="shared" si="2"/>
        <v>140</v>
      </c>
      <c r="E37" s="2" t="str">
        <f t="shared" si="3"/>
        <v>8C</v>
      </c>
      <c r="F37" s="3" t="s">
        <v>36</v>
      </c>
      <c r="G37" s="3">
        <v>94</v>
      </c>
      <c r="H37" s="3">
        <v>0</v>
      </c>
      <c r="I37" s="3">
        <v>1</v>
      </c>
      <c r="J37" s="3">
        <v>0</v>
      </c>
      <c r="K37" s="4" t="s">
        <v>70</v>
      </c>
      <c r="N37" s="47" t="str">
        <f t="shared" si="4"/>
        <v>8C</v>
      </c>
      <c r="O37" s="48"/>
      <c r="P37" s="48"/>
      <c r="Q37" s="48"/>
      <c r="R37" s="37"/>
      <c r="S37" s="48"/>
      <c r="T37" s="49"/>
    </row>
    <row r="38" spans="1:20" x14ac:dyDescent="0.4">
      <c r="A38">
        <v>36</v>
      </c>
      <c r="B38">
        <f t="shared" si="2"/>
        <v>144</v>
      </c>
      <c r="E38" s="5" t="str">
        <f t="shared" si="3"/>
        <v>90</v>
      </c>
      <c r="F38" s="6" t="s">
        <v>37</v>
      </c>
      <c r="G38" s="6" t="s">
        <v>178</v>
      </c>
      <c r="H38" s="6">
        <v>0</v>
      </c>
      <c r="I38" s="6">
        <v>1</v>
      </c>
      <c r="J38" s="6">
        <v>1</v>
      </c>
      <c r="K38" s="7" t="s">
        <v>69</v>
      </c>
      <c r="N38" s="42" t="str">
        <f t="shared" si="4"/>
        <v>90</v>
      </c>
      <c r="O38" s="43"/>
      <c r="P38" s="43"/>
      <c r="Q38" s="43"/>
      <c r="R38" s="35"/>
      <c r="S38" s="43"/>
      <c r="T38" s="44"/>
    </row>
    <row r="39" spans="1:20" x14ac:dyDescent="0.4">
      <c r="A39">
        <v>37</v>
      </c>
      <c r="B39">
        <f t="shared" si="2"/>
        <v>148</v>
      </c>
      <c r="E39" s="5" t="str">
        <f t="shared" si="3"/>
        <v>94</v>
      </c>
      <c r="F39" s="6" t="s">
        <v>38</v>
      </c>
      <c r="G39" s="6">
        <v>98</v>
      </c>
      <c r="H39" s="6">
        <v>0</v>
      </c>
      <c r="I39" s="6">
        <v>1</v>
      </c>
      <c r="J39" s="6">
        <v>0</v>
      </c>
      <c r="K39" s="7" t="s">
        <v>71</v>
      </c>
      <c r="N39" s="33" t="str">
        <f t="shared" si="4"/>
        <v>94</v>
      </c>
      <c r="O39" s="45"/>
      <c r="P39" s="45"/>
      <c r="Q39" s="45"/>
      <c r="R39" s="36"/>
      <c r="S39" s="45"/>
      <c r="T39" s="46"/>
    </row>
    <row r="40" spans="1:20" x14ac:dyDescent="0.4">
      <c r="A40">
        <v>38</v>
      </c>
      <c r="B40">
        <f t="shared" si="2"/>
        <v>152</v>
      </c>
      <c r="E40" s="5" t="str">
        <f t="shared" si="3"/>
        <v>98</v>
      </c>
      <c r="F40" s="6" t="s">
        <v>39</v>
      </c>
      <c r="G40" s="6" t="s">
        <v>179</v>
      </c>
      <c r="H40" s="6">
        <v>0</v>
      </c>
      <c r="I40" s="6">
        <v>1</v>
      </c>
      <c r="J40" s="6">
        <v>0</v>
      </c>
      <c r="K40" s="7" t="s">
        <v>69</v>
      </c>
      <c r="N40" s="33" t="str">
        <f t="shared" si="4"/>
        <v>98</v>
      </c>
      <c r="O40" s="45"/>
      <c r="P40" s="45"/>
      <c r="Q40" s="45"/>
      <c r="R40" s="36"/>
      <c r="S40" s="45"/>
      <c r="T40" s="46"/>
    </row>
    <row r="41" spans="1:20" ht="19.5" thickBot="1" x14ac:dyDescent="0.45">
      <c r="A41">
        <v>39</v>
      </c>
      <c r="B41">
        <f t="shared" si="2"/>
        <v>156</v>
      </c>
      <c r="E41" s="11" t="str">
        <f t="shared" si="3"/>
        <v>9C</v>
      </c>
      <c r="F41" s="12" t="s">
        <v>40</v>
      </c>
      <c r="G41" s="12">
        <v>84</v>
      </c>
      <c r="H41" s="12">
        <v>2</v>
      </c>
      <c r="I41" s="12">
        <v>1</v>
      </c>
      <c r="J41" s="12">
        <v>0</v>
      </c>
      <c r="K41" s="13" t="s">
        <v>72</v>
      </c>
      <c r="N41" s="33" t="str">
        <f t="shared" si="4"/>
        <v>9C</v>
      </c>
      <c r="O41" s="45"/>
      <c r="P41" s="45"/>
      <c r="Q41" s="45"/>
      <c r="R41" s="36"/>
      <c r="S41" s="45"/>
      <c r="T41" s="46"/>
    </row>
    <row r="42" spans="1:20" ht="19.5" thickBot="1" x14ac:dyDescent="0.45">
      <c r="A42">
        <v>40</v>
      </c>
      <c r="B42">
        <f t="shared" si="2"/>
        <v>160</v>
      </c>
      <c r="E42" s="2" t="str">
        <f t="shared" si="3"/>
        <v>A0</v>
      </c>
      <c r="F42" s="3" t="s">
        <v>41</v>
      </c>
      <c r="G42" s="3" t="s">
        <v>180</v>
      </c>
      <c r="H42" s="3">
        <v>0</v>
      </c>
      <c r="I42" s="3">
        <v>1</v>
      </c>
      <c r="J42" s="3">
        <v>0</v>
      </c>
      <c r="K42" s="4" t="s">
        <v>70</v>
      </c>
      <c r="N42" s="47" t="str">
        <f t="shared" si="4"/>
        <v>A0</v>
      </c>
      <c r="O42" s="48"/>
      <c r="P42" s="48"/>
      <c r="Q42" s="48"/>
      <c r="R42" s="37"/>
      <c r="S42" s="48"/>
      <c r="T42" s="49"/>
    </row>
    <row r="43" spans="1:20" x14ac:dyDescent="0.4">
      <c r="A43">
        <v>41</v>
      </c>
      <c r="B43">
        <f t="shared" si="2"/>
        <v>164</v>
      </c>
      <c r="E43" s="5" t="str">
        <f t="shared" si="3"/>
        <v>A4</v>
      </c>
      <c r="F43" s="6" t="s">
        <v>42</v>
      </c>
      <c r="G43" s="6" t="s">
        <v>181</v>
      </c>
      <c r="H43" s="6">
        <v>0</v>
      </c>
      <c r="I43" s="6">
        <v>1</v>
      </c>
      <c r="J43" s="6">
        <v>1</v>
      </c>
      <c r="K43" s="7" t="s">
        <v>69</v>
      </c>
      <c r="N43" s="42" t="str">
        <f t="shared" si="4"/>
        <v>A4</v>
      </c>
      <c r="O43" s="43"/>
      <c r="P43" s="43"/>
      <c r="Q43" s="43"/>
      <c r="R43" s="35"/>
      <c r="S43" s="43"/>
      <c r="T43" s="44"/>
    </row>
    <row r="44" spans="1:20" x14ac:dyDescent="0.4">
      <c r="A44">
        <v>42</v>
      </c>
      <c r="B44">
        <f t="shared" si="2"/>
        <v>168</v>
      </c>
      <c r="E44" s="5" t="str">
        <f t="shared" si="3"/>
        <v>A8</v>
      </c>
      <c r="F44" s="6" t="s">
        <v>43</v>
      </c>
      <c r="G44" s="6" t="s">
        <v>182</v>
      </c>
      <c r="H44" s="6">
        <v>0</v>
      </c>
      <c r="I44" s="6">
        <v>1</v>
      </c>
      <c r="J44" s="6">
        <v>0</v>
      </c>
      <c r="K44" s="7" t="s">
        <v>71</v>
      </c>
      <c r="N44" s="33" t="str">
        <f t="shared" si="4"/>
        <v>A8</v>
      </c>
      <c r="O44" s="45"/>
      <c r="P44" s="45"/>
      <c r="Q44" s="45"/>
      <c r="R44" s="36"/>
      <c r="S44" s="45"/>
      <c r="T44" s="46"/>
    </row>
    <row r="45" spans="1:20" x14ac:dyDescent="0.4">
      <c r="A45">
        <v>43</v>
      </c>
      <c r="B45">
        <f t="shared" si="2"/>
        <v>172</v>
      </c>
      <c r="E45" s="5" t="str">
        <f t="shared" si="3"/>
        <v>AC</v>
      </c>
      <c r="F45" s="6" t="s">
        <v>44</v>
      </c>
      <c r="G45" s="6" t="s">
        <v>89</v>
      </c>
      <c r="H45" s="6">
        <v>0</v>
      </c>
      <c r="I45" s="6">
        <v>1</v>
      </c>
      <c r="J45" s="6">
        <v>0</v>
      </c>
      <c r="K45" s="7" t="s">
        <v>69</v>
      </c>
      <c r="N45" s="33" t="str">
        <f t="shared" si="4"/>
        <v>AC</v>
      </c>
      <c r="O45" s="45"/>
      <c r="P45" s="45"/>
      <c r="Q45" s="45"/>
      <c r="R45" s="36"/>
      <c r="S45" s="45"/>
      <c r="T45" s="46"/>
    </row>
    <row r="46" spans="1:20" ht="19.5" thickBot="1" x14ac:dyDescent="0.45">
      <c r="A46">
        <v>44</v>
      </c>
      <c r="B46">
        <f t="shared" si="2"/>
        <v>176</v>
      </c>
      <c r="E46" s="11" t="str">
        <f t="shared" si="3"/>
        <v>B0</v>
      </c>
      <c r="F46" s="12" t="s">
        <v>45</v>
      </c>
      <c r="G46" s="12">
        <v>98</v>
      </c>
      <c r="H46" s="12">
        <v>2</v>
      </c>
      <c r="I46" s="12">
        <v>1</v>
      </c>
      <c r="J46" s="12">
        <v>0</v>
      </c>
      <c r="K46" s="13" t="s">
        <v>72</v>
      </c>
      <c r="N46" s="33" t="str">
        <f t="shared" si="4"/>
        <v>B0</v>
      </c>
      <c r="O46" s="45"/>
      <c r="P46" s="45"/>
      <c r="Q46" s="45"/>
      <c r="R46" s="36"/>
      <c r="S46" s="45"/>
      <c r="T46" s="46"/>
    </row>
    <row r="47" spans="1:20" ht="19.5" thickBot="1" x14ac:dyDescent="0.45">
      <c r="A47">
        <v>45</v>
      </c>
      <c r="B47">
        <f t="shared" si="2"/>
        <v>180</v>
      </c>
      <c r="E47" s="2" t="str">
        <f t="shared" si="3"/>
        <v>B4</v>
      </c>
      <c r="F47" s="3" t="s">
        <v>46</v>
      </c>
      <c r="G47" s="3" t="s">
        <v>183</v>
      </c>
      <c r="H47" s="3">
        <v>0</v>
      </c>
      <c r="I47" s="3">
        <v>1</v>
      </c>
      <c r="J47" s="3">
        <v>0</v>
      </c>
      <c r="K47" s="4" t="s">
        <v>70</v>
      </c>
      <c r="N47" s="47" t="str">
        <f t="shared" si="4"/>
        <v>B4</v>
      </c>
      <c r="O47" s="48"/>
      <c r="P47" s="48"/>
      <c r="Q47" s="48"/>
      <c r="R47" s="37"/>
      <c r="S47" s="48"/>
      <c r="T47" s="49"/>
    </row>
    <row r="48" spans="1:20" x14ac:dyDescent="0.4">
      <c r="A48">
        <v>46</v>
      </c>
      <c r="B48">
        <f t="shared" si="2"/>
        <v>184</v>
      </c>
      <c r="E48" s="5" t="str">
        <f t="shared" si="3"/>
        <v>B8</v>
      </c>
      <c r="F48" s="6" t="s">
        <v>47</v>
      </c>
      <c r="G48" s="6" t="s">
        <v>184</v>
      </c>
      <c r="H48" s="6">
        <v>0</v>
      </c>
      <c r="I48" s="6">
        <v>1</v>
      </c>
      <c r="J48" s="6">
        <v>1</v>
      </c>
      <c r="K48" s="7" t="s">
        <v>69</v>
      </c>
      <c r="N48" s="42" t="str">
        <f t="shared" si="4"/>
        <v>B8</v>
      </c>
      <c r="O48" s="43"/>
      <c r="P48" s="43"/>
      <c r="Q48" s="43"/>
      <c r="R48" s="35"/>
      <c r="S48" s="43"/>
      <c r="T48" s="44"/>
    </row>
    <row r="49" spans="1:20" x14ac:dyDescent="0.4">
      <c r="A49">
        <v>47</v>
      </c>
      <c r="B49">
        <f t="shared" si="2"/>
        <v>188</v>
      </c>
      <c r="E49" s="5" t="str">
        <f t="shared" si="3"/>
        <v>BC</v>
      </c>
      <c r="F49" s="6" t="s">
        <v>48</v>
      </c>
      <c r="G49" s="6" t="s">
        <v>185</v>
      </c>
      <c r="H49" s="6">
        <v>0</v>
      </c>
      <c r="I49" s="6">
        <v>1</v>
      </c>
      <c r="J49" s="6">
        <v>0</v>
      </c>
      <c r="K49" s="7" t="s">
        <v>71</v>
      </c>
      <c r="N49" s="33" t="str">
        <f t="shared" si="4"/>
        <v>BC</v>
      </c>
      <c r="O49" s="45"/>
      <c r="P49" s="45"/>
      <c r="Q49" s="45"/>
      <c r="R49" s="36"/>
      <c r="S49" s="45"/>
      <c r="T49" s="46"/>
    </row>
    <row r="50" spans="1:20" x14ac:dyDescent="0.4">
      <c r="A50">
        <v>48</v>
      </c>
      <c r="B50">
        <f t="shared" si="2"/>
        <v>192</v>
      </c>
      <c r="E50" s="5" t="str">
        <f t="shared" si="3"/>
        <v>C0</v>
      </c>
      <c r="F50" s="6" t="s">
        <v>49</v>
      </c>
      <c r="G50" s="6" t="s">
        <v>186</v>
      </c>
      <c r="H50" s="6">
        <v>0</v>
      </c>
      <c r="I50" s="6">
        <v>1</v>
      </c>
      <c r="J50" s="6">
        <v>0</v>
      </c>
      <c r="K50" s="7" t="s">
        <v>69</v>
      </c>
      <c r="N50" s="33" t="str">
        <f t="shared" si="4"/>
        <v>C0</v>
      </c>
      <c r="O50" s="45"/>
      <c r="P50" s="45"/>
      <c r="Q50" s="45"/>
      <c r="R50" s="36"/>
      <c r="S50" s="45"/>
      <c r="T50" s="46"/>
    </row>
    <row r="51" spans="1:20" ht="19.5" thickBot="1" x14ac:dyDescent="0.45">
      <c r="A51">
        <v>49</v>
      </c>
      <c r="B51">
        <f t="shared" si="2"/>
        <v>196</v>
      </c>
      <c r="E51" s="11" t="str">
        <f t="shared" si="3"/>
        <v>C4</v>
      </c>
      <c r="F51" s="12" t="s">
        <v>50</v>
      </c>
      <c r="G51" s="12" t="s">
        <v>182</v>
      </c>
      <c r="H51" s="12">
        <v>2</v>
      </c>
      <c r="I51" s="12">
        <v>1</v>
      </c>
      <c r="J51" s="12">
        <v>0</v>
      </c>
      <c r="K51" s="13" t="s">
        <v>72</v>
      </c>
      <c r="N51" s="33" t="str">
        <f t="shared" si="4"/>
        <v>C4</v>
      </c>
      <c r="O51" s="45"/>
      <c r="P51" s="45"/>
      <c r="Q51" s="45"/>
      <c r="R51" s="36"/>
      <c r="S51" s="45"/>
      <c r="T51" s="46"/>
    </row>
    <row r="52" spans="1:20" ht="19.5" thickBot="1" x14ac:dyDescent="0.45">
      <c r="A52">
        <v>50</v>
      </c>
      <c r="B52">
        <f t="shared" si="2"/>
        <v>200</v>
      </c>
      <c r="E52" s="2" t="str">
        <f t="shared" si="3"/>
        <v>C8</v>
      </c>
      <c r="F52" s="3" t="s">
        <v>51</v>
      </c>
      <c r="G52" s="3" t="s">
        <v>187</v>
      </c>
      <c r="H52" s="3">
        <v>0</v>
      </c>
      <c r="I52" s="3">
        <v>1</v>
      </c>
      <c r="J52" s="3">
        <v>0</v>
      </c>
      <c r="K52" s="4" t="s">
        <v>70</v>
      </c>
      <c r="N52" s="47" t="str">
        <f t="shared" si="4"/>
        <v>C8</v>
      </c>
      <c r="O52" s="48"/>
      <c r="P52" s="48"/>
      <c r="Q52" s="48"/>
      <c r="R52" s="37"/>
      <c r="S52" s="48"/>
      <c r="T52" s="49"/>
    </row>
    <row r="53" spans="1:20" x14ac:dyDescent="0.4">
      <c r="A53">
        <v>51</v>
      </c>
      <c r="B53">
        <f t="shared" si="2"/>
        <v>204</v>
      </c>
      <c r="E53" s="5" t="str">
        <f t="shared" si="3"/>
        <v>CC</v>
      </c>
      <c r="F53" s="6" t="s">
        <v>52</v>
      </c>
      <c r="G53" s="6" t="s">
        <v>188</v>
      </c>
      <c r="H53" s="6">
        <v>0</v>
      </c>
      <c r="I53" s="6">
        <v>1</v>
      </c>
      <c r="J53" s="6">
        <v>1</v>
      </c>
      <c r="K53" s="7" t="s">
        <v>69</v>
      </c>
      <c r="N53" s="42" t="str">
        <f t="shared" si="4"/>
        <v>CC</v>
      </c>
      <c r="O53" s="43"/>
      <c r="P53" s="43"/>
      <c r="Q53" s="43"/>
      <c r="R53" s="35"/>
      <c r="S53" s="43"/>
      <c r="T53" s="44"/>
    </row>
    <row r="54" spans="1:20" x14ac:dyDescent="0.4">
      <c r="A54">
        <v>52</v>
      </c>
      <c r="B54">
        <f t="shared" si="2"/>
        <v>208</v>
      </c>
      <c r="E54" s="5" t="str">
        <f t="shared" si="3"/>
        <v>D0</v>
      </c>
      <c r="F54" s="6" t="s">
        <v>53</v>
      </c>
      <c r="G54" s="6" t="s">
        <v>189</v>
      </c>
      <c r="H54" s="6">
        <v>0</v>
      </c>
      <c r="I54" s="6">
        <v>1</v>
      </c>
      <c r="J54" s="6">
        <v>0</v>
      </c>
      <c r="K54" s="7" t="s">
        <v>71</v>
      </c>
      <c r="N54" s="33" t="str">
        <f t="shared" si="4"/>
        <v>D0</v>
      </c>
      <c r="O54" s="45"/>
      <c r="P54" s="45"/>
      <c r="Q54" s="45"/>
      <c r="R54" s="36"/>
      <c r="S54" s="45"/>
      <c r="T54" s="46"/>
    </row>
    <row r="55" spans="1:20" x14ac:dyDescent="0.4">
      <c r="A55">
        <v>53</v>
      </c>
      <c r="B55">
        <f t="shared" si="2"/>
        <v>212</v>
      </c>
      <c r="E55" s="5" t="str">
        <f t="shared" si="3"/>
        <v>D4</v>
      </c>
      <c r="F55" s="6" t="s">
        <v>54</v>
      </c>
      <c r="G55" s="6" t="s">
        <v>190</v>
      </c>
      <c r="H55" s="6">
        <v>0</v>
      </c>
      <c r="I55" s="6">
        <v>1</v>
      </c>
      <c r="J55" s="6">
        <v>0</v>
      </c>
      <c r="K55" s="7" t="s">
        <v>69</v>
      </c>
      <c r="N55" s="33" t="str">
        <f t="shared" si="4"/>
        <v>D4</v>
      </c>
      <c r="O55" s="45"/>
      <c r="P55" s="45"/>
      <c r="Q55" s="45"/>
      <c r="R55" s="36"/>
      <c r="S55" s="45"/>
      <c r="T55" s="46"/>
    </row>
    <row r="56" spans="1:20" ht="19.5" thickBot="1" x14ac:dyDescent="0.45">
      <c r="A56">
        <v>54</v>
      </c>
      <c r="B56">
        <f t="shared" si="2"/>
        <v>216</v>
      </c>
      <c r="E56" s="11" t="str">
        <f t="shared" si="3"/>
        <v>D8</v>
      </c>
      <c r="F56" s="12" t="s">
        <v>55</v>
      </c>
      <c r="G56" s="12" t="s">
        <v>185</v>
      </c>
      <c r="H56" s="12">
        <v>2</v>
      </c>
      <c r="I56" s="12">
        <v>1</v>
      </c>
      <c r="J56" s="12">
        <v>0</v>
      </c>
      <c r="K56" s="13" t="s">
        <v>72</v>
      </c>
      <c r="N56" s="33" t="str">
        <f t="shared" si="4"/>
        <v>D8</v>
      </c>
      <c r="O56" s="45"/>
      <c r="P56" s="45"/>
      <c r="Q56" s="45"/>
      <c r="R56" s="36"/>
      <c r="S56" s="45"/>
      <c r="T56" s="46"/>
    </row>
    <row r="57" spans="1:20" ht="19.5" thickBot="1" x14ac:dyDescent="0.45">
      <c r="A57">
        <v>55</v>
      </c>
      <c r="B57">
        <f t="shared" si="2"/>
        <v>220</v>
      </c>
      <c r="E57" s="2" t="str">
        <f t="shared" si="3"/>
        <v>DC</v>
      </c>
      <c r="F57" s="3" t="s">
        <v>56</v>
      </c>
      <c r="G57" s="3" t="s">
        <v>191</v>
      </c>
      <c r="H57" s="3">
        <v>0</v>
      </c>
      <c r="I57" s="3">
        <v>1</v>
      </c>
      <c r="J57" s="3">
        <v>0</v>
      </c>
      <c r="K57" s="4" t="s">
        <v>70</v>
      </c>
      <c r="N57" s="47" t="str">
        <f t="shared" si="4"/>
        <v>DC</v>
      </c>
      <c r="O57" s="48"/>
      <c r="P57" s="48"/>
      <c r="Q57" s="48"/>
      <c r="R57" s="37"/>
      <c r="S57" s="48"/>
      <c r="T57" s="49"/>
    </row>
    <row r="58" spans="1:20" x14ac:dyDescent="0.4">
      <c r="A58">
        <v>56</v>
      </c>
      <c r="B58">
        <f t="shared" si="2"/>
        <v>224</v>
      </c>
      <c r="E58" s="5" t="str">
        <f t="shared" si="3"/>
        <v>E0</v>
      </c>
      <c r="F58" s="6" t="s">
        <v>57</v>
      </c>
      <c r="G58" s="6" t="s">
        <v>192</v>
      </c>
      <c r="H58" s="6">
        <v>0</v>
      </c>
      <c r="I58" s="6">
        <v>1</v>
      </c>
      <c r="J58" s="6">
        <v>0</v>
      </c>
      <c r="K58" s="7" t="s">
        <v>70</v>
      </c>
      <c r="N58" s="42" t="str">
        <f t="shared" si="4"/>
        <v>E0</v>
      </c>
      <c r="O58" s="43"/>
      <c r="P58" s="43"/>
      <c r="Q58" s="43"/>
      <c r="R58" s="35"/>
      <c r="S58" s="43"/>
      <c r="T58" s="44"/>
    </row>
    <row r="59" spans="1:20" x14ac:dyDescent="0.4">
      <c r="A59">
        <v>57</v>
      </c>
      <c r="B59">
        <f t="shared" si="2"/>
        <v>228</v>
      </c>
      <c r="E59" s="5" t="str">
        <f t="shared" si="3"/>
        <v>E4</v>
      </c>
      <c r="F59" s="6" t="s">
        <v>58</v>
      </c>
      <c r="G59" s="6" t="s">
        <v>193</v>
      </c>
      <c r="H59" s="6">
        <v>0</v>
      </c>
      <c r="I59" s="6">
        <v>1</v>
      </c>
      <c r="J59" s="6">
        <v>0</v>
      </c>
      <c r="K59" s="7" t="s">
        <v>71</v>
      </c>
      <c r="N59" s="33" t="str">
        <f t="shared" si="4"/>
        <v>E4</v>
      </c>
      <c r="O59" s="45"/>
      <c r="P59" s="45"/>
      <c r="Q59" s="45"/>
      <c r="R59" s="36"/>
      <c r="S59" s="45"/>
      <c r="T59" s="46"/>
    </row>
    <row r="60" spans="1:20" x14ac:dyDescent="0.4">
      <c r="A60">
        <v>58</v>
      </c>
      <c r="B60">
        <f t="shared" si="2"/>
        <v>232</v>
      </c>
      <c r="E60" s="5" t="str">
        <f t="shared" si="3"/>
        <v>E8</v>
      </c>
      <c r="F60" s="6" t="s">
        <v>59</v>
      </c>
      <c r="G60" s="6" t="s">
        <v>194</v>
      </c>
      <c r="H60" s="6">
        <v>0</v>
      </c>
      <c r="I60" s="6">
        <v>1</v>
      </c>
      <c r="J60" s="6">
        <v>0</v>
      </c>
      <c r="K60" s="7" t="s">
        <v>69</v>
      </c>
      <c r="N60" s="33" t="str">
        <f t="shared" si="4"/>
        <v>E8</v>
      </c>
      <c r="O60" s="45"/>
      <c r="P60" s="45"/>
      <c r="Q60" s="45"/>
      <c r="R60" s="36"/>
      <c r="S60" s="45"/>
      <c r="T60" s="46"/>
    </row>
    <row r="61" spans="1:20" ht="19.5" thickBot="1" x14ac:dyDescent="0.45">
      <c r="A61">
        <v>59</v>
      </c>
      <c r="B61">
        <f t="shared" si="2"/>
        <v>236</v>
      </c>
      <c r="E61" s="11" t="str">
        <f t="shared" si="3"/>
        <v>EC</v>
      </c>
      <c r="F61" s="12" t="s">
        <v>60</v>
      </c>
      <c r="G61" s="12" t="s">
        <v>189</v>
      </c>
      <c r="H61" s="12">
        <v>2</v>
      </c>
      <c r="I61" s="12">
        <v>1</v>
      </c>
      <c r="J61" s="12">
        <v>0</v>
      </c>
      <c r="K61" s="13" t="s">
        <v>72</v>
      </c>
      <c r="N61" s="33" t="str">
        <f t="shared" si="4"/>
        <v>EC</v>
      </c>
      <c r="O61" s="45"/>
      <c r="P61" s="45"/>
      <c r="Q61" s="45"/>
      <c r="R61" s="36"/>
      <c r="S61" s="45"/>
      <c r="T61" s="46"/>
    </row>
    <row r="62" spans="1:20" ht="19.5" thickBot="1" x14ac:dyDescent="0.45">
      <c r="A62">
        <v>60</v>
      </c>
      <c r="B62">
        <f t="shared" si="2"/>
        <v>240</v>
      </c>
      <c r="E62" s="2" t="str">
        <f t="shared" si="3"/>
        <v>F0</v>
      </c>
      <c r="F62" s="3" t="s">
        <v>61</v>
      </c>
      <c r="G62" s="3" t="s">
        <v>195</v>
      </c>
      <c r="H62" s="3">
        <v>0</v>
      </c>
      <c r="I62" s="3">
        <v>1</v>
      </c>
      <c r="J62" s="3">
        <v>0</v>
      </c>
      <c r="K62" s="4" t="s">
        <v>71</v>
      </c>
      <c r="N62" s="47" t="str">
        <f t="shared" si="4"/>
        <v>F0</v>
      </c>
      <c r="O62" s="48"/>
      <c r="P62" s="48"/>
      <c r="Q62" s="48"/>
      <c r="R62" s="37"/>
      <c r="S62" s="48"/>
      <c r="T62" s="49"/>
    </row>
    <row r="63" spans="1:20" x14ac:dyDescent="0.4">
      <c r="A63">
        <v>61</v>
      </c>
      <c r="B63">
        <f t="shared" si="2"/>
        <v>244</v>
      </c>
      <c r="E63" s="8" t="str">
        <f t="shared" si="3"/>
        <v>F4</v>
      </c>
      <c r="F63" s="9" t="s">
        <v>62</v>
      </c>
      <c r="G63" s="9" t="s">
        <v>193</v>
      </c>
      <c r="H63" s="9">
        <v>2</v>
      </c>
      <c r="I63" s="9">
        <v>1</v>
      </c>
      <c r="J63" s="9">
        <v>0</v>
      </c>
      <c r="K63" s="10" t="s">
        <v>72</v>
      </c>
      <c r="N63" s="42" t="str">
        <f t="shared" si="4"/>
        <v>F4</v>
      </c>
      <c r="O63" s="43"/>
      <c r="P63" s="43"/>
      <c r="Q63" s="43"/>
      <c r="R63" s="35"/>
      <c r="S63" s="43"/>
      <c r="T63" s="44"/>
    </row>
    <row r="64" spans="1:20" x14ac:dyDescent="0.4">
      <c r="A64">
        <v>62</v>
      </c>
      <c r="B64">
        <f t="shared" si="2"/>
        <v>248</v>
      </c>
      <c r="E64" s="1" t="str">
        <f t="shared" ref="E34:E65" si="5">DEC2HEX(B64)</f>
        <v>F8</v>
      </c>
      <c r="F64" s="1"/>
      <c r="G64" s="1"/>
      <c r="H64" s="1"/>
      <c r="I64" s="1"/>
      <c r="J64" s="1"/>
      <c r="K64" s="1"/>
      <c r="N64" s="50" t="str">
        <f t="shared" si="4"/>
        <v>F8</v>
      </c>
      <c r="O64" s="51"/>
      <c r="P64" s="51"/>
      <c r="Q64" s="51"/>
      <c r="R64" s="38"/>
      <c r="S64" s="51"/>
      <c r="T64" s="52"/>
    </row>
    <row r="65" spans="1:11" x14ac:dyDescent="0.4">
      <c r="A65">
        <v>63</v>
      </c>
      <c r="B65">
        <f t="shared" si="2"/>
        <v>252</v>
      </c>
      <c r="E65" s="1" t="str">
        <f t="shared" si="5"/>
        <v>FC</v>
      </c>
      <c r="F65" s="1"/>
      <c r="G65" s="1"/>
      <c r="H65" s="1"/>
      <c r="I65" s="1"/>
      <c r="J65" s="1"/>
      <c r="K65" s="1"/>
    </row>
    <row r="66" spans="1:11" x14ac:dyDescent="0.4">
      <c r="E66" s="1"/>
      <c r="F66" s="1"/>
      <c r="G66" s="1"/>
      <c r="H66" s="1"/>
      <c r="I66" s="1"/>
      <c r="J66" s="1"/>
      <c r="K66" s="1"/>
    </row>
    <row r="67" spans="1:11" x14ac:dyDescent="0.4">
      <c r="E67" s="1"/>
      <c r="F67" s="1"/>
      <c r="G67" s="1"/>
      <c r="H67" s="1"/>
      <c r="I67" s="1"/>
      <c r="J67" s="1"/>
      <c r="K67" s="1"/>
    </row>
  </sheetData>
  <phoneticPr fontId="1"/>
  <pageMargins left="0.7" right="0.7" top="0.75" bottom="0.75" header="0.3" footer="0.3"/>
  <ignoredErrors>
    <ignoredError sqref="R6" numberStoredAsText="1"/>
  </ignoredError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012E-B993-4C78-8D9B-C73352C06BDC}">
  <dimension ref="A2:H13"/>
  <sheetViews>
    <sheetView workbookViewId="0">
      <selection activeCell="E7" sqref="E7"/>
    </sheetView>
  </sheetViews>
  <sheetFormatPr defaultRowHeight="18.75" x14ac:dyDescent="0.4"/>
  <cols>
    <col min="2" max="2" width="14.25" style="21" customWidth="1"/>
    <col min="3" max="3" width="14.75" style="21" customWidth="1"/>
    <col min="4" max="4" width="9" style="21"/>
    <col min="7" max="7" width="14.25" customWidth="1"/>
    <col min="8" max="8" width="14.5" customWidth="1"/>
  </cols>
  <sheetData>
    <row r="2" spans="1:8" ht="56.25" x14ac:dyDescent="0.4">
      <c r="A2" s="18" t="s">
        <v>84</v>
      </c>
      <c r="B2" s="20" t="s">
        <v>86</v>
      </c>
      <c r="C2" s="20" t="s">
        <v>87</v>
      </c>
      <c r="F2" s="18" t="s">
        <v>85</v>
      </c>
      <c r="G2" s="20" t="s">
        <v>73</v>
      </c>
      <c r="H2" s="20" t="s">
        <v>74</v>
      </c>
    </row>
    <row r="3" spans="1:8" x14ac:dyDescent="0.4">
      <c r="C3" s="21" t="s">
        <v>88</v>
      </c>
      <c r="D3" s="21">
        <v>16</v>
      </c>
    </row>
    <row r="4" spans="1:8" x14ac:dyDescent="0.4">
      <c r="B4" s="21" t="s">
        <v>76</v>
      </c>
      <c r="C4" s="21" t="s">
        <v>76</v>
      </c>
      <c r="D4" s="21" t="s">
        <v>76</v>
      </c>
    </row>
    <row r="5" spans="1:8" x14ac:dyDescent="0.4">
      <c r="B5" s="21" t="s">
        <v>75</v>
      </c>
      <c r="C5" s="21" t="s">
        <v>90</v>
      </c>
      <c r="D5" s="21" t="s">
        <v>90</v>
      </c>
    </row>
    <row r="6" spans="1:8" x14ac:dyDescent="0.4">
      <c r="B6" s="21" t="s">
        <v>77</v>
      </c>
      <c r="C6" s="21" t="s">
        <v>91</v>
      </c>
      <c r="D6" s="21" t="s">
        <v>91</v>
      </c>
    </row>
    <row r="7" spans="1:8" x14ac:dyDescent="0.4">
      <c r="B7" s="21" t="s">
        <v>78</v>
      </c>
      <c r="C7" s="21" t="s">
        <v>92</v>
      </c>
      <c r="D7" s="21" t="s">
        <v>92</v>
      </c>
    </row>
    <row r="8" spans="1:8" x14ac:dyDescent="0.4">
      <c r="B8" s="21" t="s">
        <v>79</v>
      </c>
      <c r="C8" s="21" t="s">
        <v>93</v>
      </c>
      <c r="D8" s="21" t="s">
        <v>93</v>
      </c>
    </row>
    <row r="9" spans="1:8" x14ac:dyDescent="0.4">
      <c r="B9" s="21" t="s">
        <v>80</v>
      </c>
      <c r="C9" s="21" t="s">
        <v>94</v>
      </c>
    </row>
    <row r="10" spans="1:8" x14ac:dyDescent="0.4">
      <c r="B10" s="21" t="s">
        <v>81</v>
      </c>
      <c r="C10" s="21" t="s">
        <v>95</v>
      </c>
    </row>
    <row r="11" spans="1:8" x14ac:dyDescent="0.4">
      <c r="B11" s="21" t="s">
        <v>78</v>
      </c>
      <c r="C11" s="21" t="s">
        <v>96</v>
      </c>
    </row>
    <row r="12" spans="1:8" x14ac:dyDescent="0.4">
      <c r="B12" s="21" t="s">
        <v>82</v>
      </c>
      <c r="C12" s="21" t="s">
        <v>97</v>
      </c>
    </row>
    <row r="13" spans="1:8" x14ac:dyDescent="0.4">
      <c r="B13" s="21" t="s">
        <v>83</v>
      </c>
      <c r="C13" s="21" t="s">
        <v>88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B9C3-EC84-4F14-B8EB-7CD46A65F48D}">
  <dimension ref="B1:F63"/>
  <sheetViews>
    <sheetView workbookViewId="0">
      <selection activeCell="D9" sqref="D9"/>
    </sheetView>
  </sheetViews>
  <sheetFormatPr defaultRowHeight="18.75" x14ac:dyDescent="0.4"/>
  <cols>
    <col min="3" max="3" width="16.875" customWidth="1"/>
    <col min="4" max="4" width="18" customWidth="1"/>
    <col min="5" max="5" width="18.75" customWidth="1"/>
    <col min="6" max="6" width="16.875" customWidth="1"/>
  </cols>
  <sheetData>
    <row r="1" spans="2:6" ht="45.75" customHeight="1" thickBot="1" x14ac:dyDescent="0.45">
      <c r="B1" s="27" t="s">
        <v>98</v>
      </c>
      <c r="C1" s="25" t="s">
        <v>101</v>
      </c>
      <c r="D1" s="30" t="s">
        <v>99</v>
      </c>
      <c r="E1" s="25" t="s">
        <v>100</v>
      </c>
      <c r="F1" s="24" t="s">
        <v>102</v>
      </c>
    </row>
    <row r="2" spans="2:6" ht="19.5" thickTop="1" x14ac:dyDescent="0.4">
      <c r="B2" s="28" t="s">
        <v>1</v>
      </c>
      <c r="C2" s="17" t="s">
        <v>104</v>
      </c>
      <c r="D2" s="31" t="s">
        <v>105</v>
      </c>
      <c r="E2" s="17" t="s">
        <v>103</v>
      </c>
      <c r="F2" s="23" t="s">
        <v>105</v>
      </c>
    </row>
    <row r="3" spans="2:6" x14ac:dyDescent="0.4">
      <c r="B3" s="29" t="s">
        <v>2</v>
      </c>
      <c r="C3" s="26" t="s">
        <v>106</v>
      </c>
      <c r="D3" s="32" t="s">
        <v>107</v>
      </c>
      <c r="E3" s="26" t="s">
        <v>106</v>
      </c>
      <c r="F3" s="22" t="s">
        <v>107</v>
      </c>
    </row>
    <row r="4" spans="2:6" x14ac:dyDescent="0.4">
      <c r="B4" s="29" t="s">
        <v>3</v>
      </c>
      <c r="C4" s="26" t="s">
        <v>109</v>
      </c>
      <c r="D4" s="32" t="s">
        <v>111</v>
      </c>
      <c r="E4" s="26" t="s">
        <v>108</v>
      </c>
      <c r="F4" s="22" t="s">
        <v>110</v>
      </c>
    </row>
    <row r="5" spans="2:6" x14ac:dyDescent="0.4">
      <c r="B5" s="29" t="s">
        <v>4</v>
      </c>
      <c r="C5" s="26" t="s">
        <v>112</v>
      </c>
      <c r="D5" s="32" t="s">
        <v>113</v>
      </c>
      <c r="E5" s="26" t="s">
        <v>112</v>
      </c>
      <c r="F5" s="22" t="s">
        <v>113</v>
      </c>
    </row>
    <row r="6" spans="2:6" x14ac:dyDescent="0.4">
      <c r="B6" s="29" t="s">
        <v>5</v>
      </c>
      <c r="C6" s="26" t="s">
        <v>118</v>
      </c>
      <c r="D6" s="32" t="s">
        <v>119</v>
      </c>
      <c r="E6" s="26" t="s">
        <v>118</v>
      </c>
      <c r="F6" s="22" t="s">
        <v>119</v>
      </c>
    </row>
    <row r="7" spans="2:6" x14ac:dyDescent="0.4">
      <c r="B7" s="29" t="s">
        <v>6</v>
      </c>
      <c r="C7" s="26" t="s">
        <v>114</v>
      </c>
      <c r="D7" s="32" t="s">
        <v>115</v>
      </c>
      <c r="E7" s="26" t="s">
        <v>166</v>
      </c>
      <c r="F7" s="22" t="s">
        <v>115</v>
      </c>
    </row>
    <row r="8" spans="2:6" x14ac:dyDescent="0.4">
      <c r="B8" s="29" t="s">
        <v>7</v>
      </c>
      <c r="C8" s="26" t="s">
        <v>116</v>
      </c>
      <c r="D8" s="32" t="s">
        <v>117</v>
      </c>
      <c r="E8" s="26" t="s">
        <v>116</v>
      </c>
      <c r="F8" s="22" t="s">
        <v>117</v>
      </c>
    </row>
    <row r="9" spans="2:6" x14ac:dyDescent="0.4">
      <c r="B9" s="29" t="s">
        <v>8</v>
      </c>
      <c r="C9" s="26" t="s">
        <v>121</v>
      </c>
      <c r="D9" s="32" t="s">
        <v>122</v>
      </c>
      <c r="E9" s="26" t="s">
        <v>120</v>
      </c>
      <c r="F9" s="22" t="s">
        <v>122</v>
      </c>
    </row>
    <row r="10" spans="2:6" x14ac:dyDescent="0.4">
      <c r="B10" s="29" t="s">
        <v>9</v>
      </c>
      <c r="C10" s="26" t="s">
        <v>128</v>
      </c>
      <c r="D10" s="32" t="s">
        <v>129</v>
      </c>
      <c r="E10" s="26" t="s">
        <v>128</v>
      </c>
      <c r="F10" s="22" t="s">
        <v>129</v>
      </c>
    </row>
    <row r="11" spans="2:6" x14ac:dyDescent="0.4">
      <c r="B11" s="29" t="s">
        <v>10</v>
      </c>
      <c r="C11" s="26" t="s">
        <v>136</v>
      </c>
      <c r="D11" s="32" t="s">
        <v>137</v>
      </c>
      <c r="E11" s="26" t="s">
        <v>136</v>
      </c>
      <c r="F11" s="22" t="s">
        <v>137</v>
      </c>
    </row>
    <row r="12" spans="2:6" x14ac:dyDescent="0.4">
      <c r="B12" s="29" t="s">
        <v>11</v>
      </c>
      <c r="C12" s="26" t="s">
        <v>123</v>
      </c>
      <c r="D12" s="32" t="s">
        <v>124</v>
      </c>
      <c r="E12" s="26" t="s">
        <v>123</v>
      </c>
      <c r="F12" s="22" t="s">
        <v>124</v>
      </c>
    </row>
    <row r="13" spans="2:6" x14ac:dyDescent="0.4">
      <c r="B13" s="29" t="s">
        <v>12</v>
      </c>
      <c r="C13" s="26" t="s">
        <v>126</v>
      </c>
      <c r="D13" s="32" t="s">
        <v>127</v>
      </c>
      <c r="E13" s="26" t="s">
        <v>125</v>
      </c>
      <c r="F13" s="22" t="s">
        <v>127</v>
      </c>
    </row>
    <row r="14" spans="2:6" x14ac:dyDescent="0.4">
      <c r="B14" s="29" t="s">
        <v>13</v>
      </c>
      <c r="C14" s="26" t="s">
        <v>130</v>
      </c>
      <c r="D14" s="32" t="s">
        <v>131</v>
      </c>
      <c r="E14" s="26" t="s">
        <v>130</v>
      </c>
      <c r="F14" s="22" t="s">
        <v>131</v>
      </c>
    </row>
    <row r="15" spans="2:6" x14ac:dyDescent="0.4">
      <c r="B15" s="29" t="s">
        <v>14</v>
      </c>
      <c r="C15" s="26" t="s">
        <v>138</v>
      </c>
      <c r="D15" s="32" t="s">
        <v>139</v>
      </c>
      <c r="E15" s="26"/>
      <c r="F15" s="22"/>
    </row>
    <row r="16" spans="2:6" x14ac:dyDescent="0.4">
      <c r="B16" s="29" t="s">
        <v>15</v>
      </c>
      <c r="C16" s="26" t="s">
        <v>146</v>
      </c>
      <c r="D16" s="32" t="s">
        <v>147</v>
      </c>
      <c r="E16" s="26"/>
      <c r="F16" s="22"/>
    </row>
    <row r="17" spans="2:6" x14ac:dyDescent="0.4">
      <c r="B17" s="29" t="s">
        <v>16</v>
      </c>
      <c r="C17" s="26" t="s">
        <v>132</v>
      </c>
      <c r="D17" s="32" t="s">
        <v>133</v>
      </c>
      <c r="E17" s="26" t="s">
        <v>132</v>
      </c>
      <c r="F17" s="22" t="s">
        <v>133</v>
      </c>
    </row>
    <row r="18" spans="2:6" x14ac:dyDescent="0.4">
      <c r="B18" s="29" t="s">
        <v>17</v>
      </c>
      <c r="C18" s="26" t="s">
        <v>134</v>
      </c>
      <c r="D18" s="32" t="s">
        <v>135</v>
      </c>
      <c r="E18" s="26" t="s">
        <v>134</v>
      </c>
      <c r="F18" s="22" t="s">
        <v>135</v>
      </c>
    </row>
    <row r="19" spans="2:6" x14ac:dyDescent="0.4">
      <c r="B19" s="29" t="s">
        <v>18</v>
      </c>
      <c r="C19" s="26" t="s">
        <v>140</v>
      </c>
      <c r="D19" s="32" t="s">
        <v>141</v>
      </c>
      <c r="E19" s="26"/>
      <c r="F19" s="22"/>
    </row>
    <row r="20" spans="2:6" x14ac:dyDescent="0.4">
      <c r="B20" s="29" t="s">
        <v>19</v>
      </c>
      <c r="C20" s="26" t="s">
        <v>148</v>
      </c>
      <c r="D20" s="32" t="s">
        <v>149</v>
      </c>
      <c r="E20" s="26"/>
      <c r="F20" s="22"/>
    </row>
    <row r="21" spans="2:6" x14ac:dyDescent="0.4">
      <c r="B21" s="29" t="s">
        <v>20</v>
      </c>
      <c r="C21" s="26" t="s">
        <v>156</v>
      </c>
      <c r="D21" s="32" t="s">
        <v>157</v>
      </c>
      <c r="E21" s="26"/>
      <c r="F21" s="22"/>
    </row>
    <row r="22" spans="2:6" x14ac:dyDescent="0.4">
      <c r="B22" s="29" t="s">
        <v>21</v>
      </c>
      <c r="C22" s="26" t="s">
        <v>142</v>
      </c>
      <c r="D22" s="32" t="s">
        <v>143</v>
      </c>
      <c r="E22" s="26"/>
      <c r="F22" s="22"/>
    </row>
    <row r="23" spans="2:6" x14ac:dyDescent="0.4">
      <c r="B23" s="29" t="s">
        <v>22</v>
      </c>
      <c r="C23" s="26" t="s">
        <v>144</v>
      </c>
      <c r="D23" s="32" t="s">
        <v>145</v>
      </c>
      <c r="E23" s="26"/>
      <c r="F23" s="22"/>
    </row>
    <row r="24" spans="2:6" x14ac:dyDescent="0.4">
      <c r="B24" s="29" t="s">
        <v>23</v>
      </c>
      <c r="C24" s="26" t="s">
        <v>150</v>
      </c>
      <c r="D24" s="32" t="s">
        <v>151</v>
      </c>
      <c r="E24" s="26"/>
      <c r="F24" s="22"/>
    </row>
    <row r="25" spans="2:6" x14ac:dyDescent="0.4">
      <c r="B25" s="29" t="s">
        <v>24</v>
      </c>
      <c r="C25" s="26" t="s">
        <v>158</v>
      </c>
      <c r="D25" s="32" t="s">
        <v>159</v>
      </c>
      <c r="E25" s="26"/>
      <c r="F25" s="22"/>
    </row>
    <row r="26" spans="2:6" x14ac:dyDescent="0.4">
      <c r="B26" s="29" t="s">
        <v>25</v>
      </c>
      <c r="C26" s="26"/>
      <c r="D26" s="32"/>
      <c r="E26" s="26"/>
      <c r="F26" s="22"/>
    </row>
    <row r="27" spans="2:6" x14ac:dyDescent="0.4">
      <c r="B27" s="29" t="s">
        <v>26</v>
      </c>
      <c r="C27" s="26" t="s">
        <v>152</v>
      </c>
      <c r="D27" s="32" t="s">
        <v>153</v>
      </c>
      <c r="E27" s="26"/>
      <c r="F27" s="22"/>
    </row>
    <row r="28" spans="2:6" x14ac:dyDescent="0.4">
      <c r="B28" s="29" t="s">
        <v>27</v>
      </c>
      <c r="C28" s="26" t="s">
        <v>154</v>
      </c>
      <c r="D28" s="32" t="s">
        <v>155</v>
      </c>
      <c r="E28" s="26"/>
      <c r="F28" s="22"/>
    </row>
    <row r="29" spans="2:6" x14ac:dyDescent="0.4">
      <c r="B29" s="29" t="s">
        <v>28</v>
      </c>
      <c r="C29" s="26" t="s">
        <v>160</v>
      </c>
      <c r="D29" s="32" t="s">
        <v>161</v>
      </c>
      <c r="E29" s="26"/>
      <c r="F29" s="22"/>
    </row>
    <row r="30" spans="2:6" x14ac:dyDescent="0.4">
      <c r="B30" s="29" t="s">
        <v>29</v>
      </c>
      <c r="C30" s="26"/>
      <c r="D30" s="32"/>
      <c r="E30" s="26"/>
      <c r="F30" s="22"/>
    </row>
    <row r="31" spans="2:6" x14ac:dyDescent="0.4">
      <c r="B31" s="29" t="s">
        <v>30</v>
      </c>
      <c r="C31" s="26"/>
      <c r="D31" s="32"/>
      <c r="E31" s="26"/>
      <c r="F31" s="22"/>
    </row>
    <row r="32" spans="2:6" x14ac:dyDescent="0.4">
      <c r="B32" s="29" t="s">
        <v>31</v>
      </c>
      <c r="C32" s="26" t="s">
        <v>162</v>
      </c>
      <c r="D32" s="32" t="s">
        <v>163</v>
      </c>
      <c r="E32" s="26"/>
      <c r="F32" s="22"/>
    </row>
    <row r="33" spans="2:6" x14ac:dyDescent="0.4">
      <c r="B33" s="29" t="s">
        <v>32</v>
      </c>
      <c r="C33" s="26" t="s">
        <v>164</v>
      </c>
      <c r="D33" s="32" t="s">
        <v>165</v>
      </c>
      <c r="E33" s="26"/>
      <c r="F33" s="22"/>
    </row>
    <row r="34" spans="2:6" x14ac:dyDescent="0.4">
      <c r="B34" s="29" t="s">
        <v>33</v>
      </c>
      <c r="C34" s="26"/>
      <c r="D34" s="32"/>
      <c r="E34" s="26"/>
      <c r="F34" s="22"/>
    </row>
    <row r="35" spans="2:6" x14ac:dyDescent="0.4">
      <c r="B35" s="29" t="s">
        <v>34</v>
      </c>
      <c r="C35" s="26"/>
      <c r="D35" s="32"/>
      <c r="E35" s="26"/>
      <c r="F35" s="22"/>
    </row>
    <row r="36" spans="2:6" x14ac:dyDescent="0.4">
      <c r="B36" s="29" t="s">
        <v>35</v>
      </c>
      <c r="C36" s="26"/>
      <c r="D36" s="32"/>
      <c r="E36" s="26"/>
      <c r="F36" s="22"/>
    </row>
    <row r="37" spans="2:6" x14ac:dyDescent="0.4">
      <c r="B37" s="29" t="s">
        <v>36</v>
      </c>
      <c r="C37" s="26"/>
      <c r="D37" s="32"/>
      <c r="E37" s="26"/>
      <c r="F37" s="22"/>
    </row>
    <row r="38" spans="2:6" x14ac:dyDescent="0.4">
      <c r="B38" s="29" t="s">
        <v>37</v>
      </c>
      <c r="C38" s="26"/>
      <c r="D38" s="32"/>
      <c r="E38" s="26"/>
      <c r="F38" s="22"/>
    </row>
    <row r="39" spans="2:6" x14ac:dyDescent="0.4">
      <c r="B39" s="29" t="s">
        <v>38</v>
      </c>
      <c r="C39" s="26"/>
      <c r="D39" s="32"/>
      <c r="E39" s="26"/>
      <c r="F39" s="22"/>
    </row>
    <row r="40" spans="2:6" x14ac:dyDescent="0.4">
      <c r="B40" s="29" t="s">
        <v>39</v>
      </c>
      <c r="C40" s="26"/>
      <c r="D40" s="32"/>
      <c r="E40" s="26"/>
      <c r="F40" s="22"/>
    </row>
    <row r="41" spans="2:6" x14ac:dyDescent="0.4">
      <c r="B41" s="29" t="s">
        <v>40</v>
      </c>
      <c r="C41" s="26"/>
      <c r="D41" s="32"/>
      <c r="E41" s="26"/>
      <c r="F41" s="22"/>
    </row>
    <row r="42" spans="2:6" x14ac:dyDescent="0.4">
      <c r="B42" s="29" t="s">
        <v>41</v>
      </c>
      <c r="C42" s="26"/>
      <c r="D42" s="32"/>
      <c r="E42" s="26"/>
      <c r="F42" s="22"/>
    </row>
    <row r="43" spans="2:6" x14ac:dyDescent="0.4">
      <c r="B43" s="29" t="s">
        <v>42</v>
      </c>
      <c r="C43" s="26"/>
      <c r="D43" s="32"/>
      <c r="E43" s="26"/>
      <c r="F43" s="22"/>
    </row>
    <row r="44" spans="2:6" x14ac:dyDescent="0.4">
      <c r="B44" s="29" t="s">
        <v>43</v>
      </c>
      <c r="C44" s="26"/>
      <c r="D44" s="32"/>
      <c r="E44" s="26"/>
      <c r="F44" s="22"/>
    </row>
    <row r="45" spans="2:6" x14ac:dyDescent="0.4">
      <c r="B45" s="29" t="s">
        <v>44</v>
      </c>
      <c r="C45" s="26"/>
      <c r="D45" s="32"/>
      <c r="E45" s="26"/>
      <c r="F45" s="22"/>
    </row>
    <row r="46" spans="2:6" x14ac:dyDescent="0.4">
      <c r="B46" s="29" t="s">
        <v>45</v>
      </c>
      <c r="C46" s="26"/>
      <c r="D46" s="32"/>
      <c r="E46" s="26"/>
      <c r="F46" s="22"/>
    </row>
    <row r="47" spans="2:6" x14ac:dyDescent="0.4">
      <c r="B47" s="29" t="s">
        <v>46</v>
      </c>
      <c r="C47" s="26"/>
      <c r="D47" s="32"/>
      <c r="E47" s="26"/>
      <c r="F47" s="22"/>
    </row>
    <row r="48" spans="2:6" x14ac:dyDescent="0.4">
      <c r="B48" s="29" t="s">
        <v>47</v>
      </c>
      <c r="C48" s="26"/>
      <c r="D48" s="32"/>
      <c r="E48" s="26"/>
      <c r="F48" s="22"/>
    </row>
    <row r="49" spans="2:6" x14ac:dyDescent="0.4">
      <c r="B49" s="29" t="s">
        <v>48</v>
      </c>
      <c r="C49" s="26"/>
      <c r="D49" s="32"/>
      <c r="E49" s="26"/>
      <c r="F49" s="22"/>
    </row>
    <row r="50" spans="2:6" x14ac:dyDescent="0.4">
      <c r="B50" s="29" t="s">
        <v>49</v>
      </c>
      <c r="C50" s="26"/>
      <c r="D50" s="32"/>
      <c r="E50" s="26"/>
      <c r="F50" s="22"/>
    </row>
    <row r="51" spans="2:6" x14ac:dyDescent="0.4">
      <c r="B51" s="29" t="s">
        <v>50</v>
      </c>
      <c r="C51" s="26"/>
      <c r="D51" s="32"/>
      <c r="E51" s="26"/>
      <c r="F51" s="22"/>
    </row>
    <row r="52" spans="2:6" x14ac:dyDescent="0.4">
      <c r="B52" s="29" t="s">
        <v>51</v>
      </c>
      <c r="C52" s="26"/>
      <c r="D52" s="32"/>
      <c r="E52" s="26"/>
      <c r="F52" s="22"/>
    </row>
    <row r="53" spans="2:6" x14ac:dyDescent="0.4">
      <c r="B53" s="29" t="s">
        <v>52</v>
      </c>
      <c r="C53" s="26"/>
      <c r="D53" s="32"/>
      <c r="E53" s="26"/>
      <c r="F53" s="22"/>
    </row>
    <row r="54" spans="2:6" x14ac:dyDescent="0.4">
      <c r="B54" s="29" t="s">
        <v>53</v>
      </c>
      <c r="C54" s="26"/>
      <c r="D54" s="32"/>
      <c r="E54" s="26"/>
      <c r="F54" s="22"/>
    </row>
    <row r="55" spans="2:6" x14ac:dyDescent="0.4">
      <c r="B55" s="29" t="s">
        <v>54</v>
      </c>
      <c r="C55" s="26"/>
      <c r="D55" s="32"/>
      <c r="E55" s="26"/>
      <c r="F55" s="22"/>
    </row>
    <row r="56" spans="2:6" x14ac:dyDescent="0.4">
      <c r="B56" s="29" t="s">
        <v>55</v>
      </c>
      <c r="C56" s="26"/>
      <c r="D56" s="32"/>
      <c r="E56" s="26"/>
      <c r="F56" s="22"/>
    </row>
    <row r="57" spans="2:6" x14ac:dyDescent="0.4">
      <c r="B57" s="29" t="s">
        <v>56</v>
      </c>
      <c r="C57" s="26"/>
      <c r="D57" s="32"/>
      <c r="E57" s="26"/>
      <c r="F57" s="22"/>
    </row>
    <row r="58" spans="2:6" x14ac:dyDescent="0.4">
      <c r="B58" s="29" t="s">
        <v>57</v>
      </c>
      <c r="C58" s="26"/>
      <c r="D58" s="32"/>
      <c r="E58" s="26"/>
      <c r="F58" s="22"/>
    </row>
    <row r="59" spans="2:6" x14ac:dyDescent="0.4">
      <c r="B59" s="29" t="s">
        <v>58</v>
      </c>
      <c r="C59" s="26"/>
      <c r="D59" s="32"/>
      <c r="E59" s="26"/>
      <c r="F59" s="22"/>
    </row>
    <row r="60" spans="2:6" x14ac:dyDescent="0.4">
      <c r="B60" s="29" t="s">
        <v>59</v>
      </c>
      <c r="C60" s="26"/>
      <c r="D60" s="32"/>
      <c r="E60" s="26"/>
      <c r="F60" s="22"/>
    </row>
    <row r="61" spans="2:6" x14ac:dyDescent="0.4">
      <c r="B61" s="29" t="s">
        <v>60</v>
      </c>
      <c r="C61" s="26"/>
      <c r="D61" s="32"/>
      <c r="E61" s="26"/>
      <c r="F61" s="22"/>
    </row>
    <row r="62" spans="2:6" x14ac:dyDescent="0.4">
      <c r="B62" s="29" t="s">
        <v>61</v>
      </c>
      <c r="C62" s="26"/>
      <c r="D62" s="32"/>
      <c r="E62" s="26"/>
      <c r="F62" s="22"/>
    </row>
    <row r="63" spans="2:6" x14ac:dyDescent="0.4">
      <c r="B63" s="29" t="s">
        <v>62</v>
      </c>
      <c r="C63" s="26"/>
      <c r="D63" s="32"/>
      <c r="E63" s="26"/>
      <c r="F63" s="2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測定結果</vt:lpstr>
      <vt:lpstr>FPにおける計測結果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mattya</dc:creator>
  <cp:lastModifiedBy>mattya</cp:lastModifiedBy>
  <dcterms:created xsi:type="dcterms:W3CDTF">2026-08-20T08:25:45Z</dcterms:created>
  <dcterms:modified xsi:type="dcterms:W3CDTF">2026-08-28T10:51:26Z</dcterms:modified>
</cp:coreProperties>
</file>